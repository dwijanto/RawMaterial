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ml.chartshap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Default Extension="gif" ContentType="image/gif"/>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600" yWindow="-255" windowWidth="7650" windowHeight="5955" activeTab="7"/>
  </bookViews>
  <sheets>
    <sheet name="Material index" sheetId="6" r:id="rId1"/>
    <sheet name="Cost driver analysis" sheetId="9" state="hidden" r:id="rId2"/>
    <sheet name="cost driver" sheetId="11" state="hidden" r:id="rId3"/>
    <sheet name="temp" sheetId="8" state="hidden" r:id="rId4"/>
    <sheet name="Data" sheetId="12" state="hidden" r:id="rId5"/>
    <sheet name="Sheet2" sheetId="13" state="hidden" r:id="rId6"/>
    <sheet name="Base 100" sheetId="14" r:id="rId7"/>
    <sheet name="Trend" sheetId="15" r:id="rId8"/>
  </sheets>
  <definedNames>
    <definedName name="_xlnm._FilterDatabase" localSheetId="2" hidden="1">'cost driver'!$C$8:$L$56</definedName>
    <definedName name="_xlnm._FilterDatabase" localSheetId="0" hidden="1">'Material index'!$E$6:$H$6</definedName>
    <definedName name="BEVERAGE">'cost driver'!$B$9:$B$15</definedName>
    <definedName name="CHRISTOPHE_BEATRIX">'cost driver'!$B$63:$B$85</definedName>
    <definedName name="COOKWARE">'cost driver'!$B$16</definedName>
    <definedName name="Currency">'Material index'!$H$7:$H$13</definedName>
    <definedName name="EDELWEISS_LAI">'cost driver'!$B$63:$B$101</definedName>
    <definedName name="ELECTRICAL_COOKING">'cost driver'!$B$17:$B$28</definedName>
    <definedName name="End">'Material index'!$E$98:$E$134</definedName>
    <definedName name="FOOD_PREPARATION">'cost driver'!$B$29:$B$36</definedName>
    <definedName name="HOME_CLEANING">'cost driver'!$B$37:$B$40</definedName>
    <definedName name="HOME_COMFORT">'cost driver'!$B$41:$B$43</definedName>
    <definedName name="JOEY_LEUNG">'cost driver'!$B$102:$B$123</definedName>
    <definedName name="LINEN_CARE">'cost driver'!$B$44:$B$49</definedName>
    <definedName name="material">'Material index'!$H$11:$H$44</definedName>
    <definedName name="Metal">'Material index'!$H$14:$H$33</definedName>
    <definedName name="METTEW_YAN">'cost driver'!$B$124:$B$151</definedName>
    <definedName name="Others">'Material index'!$H$51:$H$53</definedName>
    <definedName name="Paper">'Material index'!$H$48:$H$50</definedName>
    <definedName name="PERSONAL_CARE">'cost driver'!$B$50:$B$56</definedName>
    <definedName name="Plastic">'Material index'!$H$36:$H$47</definedName>
    <definedName name="SBU">'cost driver'!$D$63:$D$70</definedName>
    <definedName name="SSM">'cost driver'!$E$63:$E$65</definedName>
    <definedName name="Start">'Material index'!$C$87:$C$122</definedName>
    <definedName name="Type">'Material index'!$A$87:$A$91</definedName>
  </definedNames>
  <calcPr calcId="125725"/>
</workbook>
</file>

<file path=xl/calcChain.xml><?xml version="1.0" encoding="utf-8"?>
<calcChain xmlns="http://schemas.openxmlformats.org/spreadsheetml/2006/main">
  <c r="C20" i="14"/>
  <c r="F20"/>
  <c r="I20"/>
  <c r="O20"/>
  <c r="L20"/>
  <c r="F29"/>
  <c r="E20"/>
  <c r="O21" l="1"/>
  <c r="O22"/>
  <c r="O23"/>
  <c r="O24"/>
  <c r="O25"/>
  <c r="O26"/>
  <c r="O27"/>
  <c r="O28"/>
  <c r="O29"/>
  <c r="O30"/>
  <c r="O31"/>
  <c r="O32"/>
  <c r="O33"/>
  <c r="O34"/>
  <c r="O35"/>
  <c r="O36"/>
  <c r="O37"/>
  <c r="O38"/>
  <c r="O39"/>
  <c r="O40"/>
  <c r="O41"/>
  <c r="O42"/>
  <c r="N20"/>
  <c r="N21"/>
  <c r="N22"/>
  <c r="N23"/>
  <c r="N24"/>
  <c r="N25"/>
  <c r="N26"/>
  <c r="N27"/>
  <c r="N28"/>
  <c r="N29"/>
  <c r="N30"/>
  <c r="N31"/>
  <c r="N32"/>
  <c r="N33"/>
  <c r="N34"/>
  <c r="N35"/>
  <c r="N36"/>
  <c r="N37"/>
  <c r="N38"/>
  <c r="N39"/>
  <c r="N40"/>
  <c r="N41"/>
  <c r="N42"/>
  <c r="N43"/>
  <c r="N44"/>
  <c r="N19"/>
  <c r="L21"/>
  <c r="L22"/>
  <c r="L23"/>
  <c r="L24"/>
  <c r="L25"/>
  <c r="L26"/>
  <c r="L27"/>
  <c r="L28"/>
  <c r="L29"/>
  <c r="L30"/>
  <c r="L31"/>
  <c r="L32"/>
  <c r="L33"/>
  <c r="L34"/>
  <c r="L35"/>
  <c r="L36"/>
  <c r="L37"/>
  <c r="L38"/>
  <c r="L39"/>
  <c r="L40"/>
  <c r="L41"/>
  <c r="L42"/>
  <c r="L43"/>
  <c r="L44"/>
  <c r="K20"/>
  <c r="K21"/>
  <c r="K22"/>
  <c r="K23"/>
  <c r="K24"/>
  <c r="K25"/>
  <c r="K26"/>
  <c r="K27"/>
  <c r="K28"/>
  <c r="K29"/>
  <c r="K30"/>
  <c r="K31"/>
  <c r="K32"/>
  <c r="K33"/>
  <c r="K34"/>
  <c r="K35"/>
  <c r="K36"/>
  <c r="K37"/>
  <c r="K38"/>
  <c r="K39"/>
  <c r="K40"/>
  <c r="K41"/>
  <c r="K42"/>
  <c r="K43"/>
  <c r="K44"/>
  <c r="K19"/>
  <c r="I21"/>
  <c r="I22"/>
  <c r="I23"/>
  <c r="I24"/>
  <c r="I25"/>
  <c r="I26"/>
  <c r="I27"/>
  <c r="I28"/>
  <c r="I29"/>
  <c r="I30"/>
  <c r="I31"/>
  <c r="I32"/>
  <c r="I33"/>
  <c r="I34"/>
  <c r="I35"/>
  <c r="I36"/>
  <c r="I37"/>
  <c r="I38"/>
  <c r="I39"/>
  <c r="I40"/>
  <c r="I41"/>
  <c r="I42"/>
  <c r="I43"/>
  <c r="I44"/>
  <c r="H20"/>
  <c r="H21"/>
  <c r="H22"/>
  <c r="H23"/>
  <c r="H24"/>
  <c r="H25"/>
  <c r="H26"/>
  <c r="H27"/>
  <c r="H28"/>
  <c r="H29"/>
  <c r="H30"/>
  <c r="H31"/>
  <c r="H32"/>
  <c r="H33"/>
  <c r="H34"/>
  <c r="H35"/>
  <c r="H36"/>
  <c r="H37"/>
  <c r="H38"/>
  <c r="H39"/>
  <c r="H40"/>
  <c r="H41"/>
  <c r="H42"/>
  <c r="H43"/>
  <c r="H44"/>
  <c r="H19"/>
  <c r="F21"/>
  <c r="F22"/>
  <c r="F23"/>
  <c r="F24"/>
  <c r="F25"/>
  <c r="F26"/>
  <c r="F27"/>
  <c r="F28"/>
  <c r="F30"/>
  <c r="F31"/>
  <c r="F32"/>
  <c r="F33"/>
  <c r="F34"/>
  <c r="F35"/>
  <c r="F36"/>
  <c r="F37"/>
  <c r="F38"/>
  <c r="F39"/>
  <c r="F40"/>
  <c r="F41"/>
  <c r="F42"/>
  <c r="F43"/>
  <c r="F44"/>
  <c r="E21"/>
  <c r="E22"/>
  <c r="E23"/>
  <c r="E24"/>
  <c r="E25"/>
  <c r="E26"/>
  <c r="E27"/>
  <c r="E28"/>
  <c r="E29"/>
  <c r="E30"/>
  <c r="E31"/>
  <c r="E32"/>
  <c r="E33"/>
  <c r="E34"/>
  <c r="E35"/>
  <c r="E36"/>
  <c r="E37"/>
  <c r="E38"/>
  <c r="E39"/>
  <c r="E40"/>
  <c r="E41"/>
  <c r="E42"/>
  <c r="E43"/>
  <c r="E44"/>
  <c r="E19"/>
  <c r="C21"/>
  <c r="C22"/>
  <c r="C23"/>
  <c r="C24"/>
  <c r="C25"/>
  <c r="C26"/>
  <c r="C27"/>
  <c r="C28"/>
  <c r="C29"/>
  <c r="C30"/>
  <c r="C31"/>
  <c r="C32"/>
  <c r="C33"/>
  <c r="C34"/>
  <c r="C35"/>
  <c r="C36"/>
  <c r="C37"/>
  <c r="C38"/>
  <c r="C39"/>
  <c r="C40"/>
  <c r="C41"/>
  <c r="C42"/>
  <c r="C43"/>
  <c r="C44"/>
  <c r="S24"/>
  <c r="S25"/>
  <c r="S26"/>
  <c r="S27"/>
  <c r="S28"/>
  <c r="S29"/>
  <c r="S30"/>
  <c r="S31"/>
  <c r="S23"/>
  <c r="S33"/>
  <c r="S34"/>
  <c r="S35"/>
  <c r="S36"/>
  <c r="S37"/>
  <c r="S38"/>
  <c r="S39"/>
  <c r="S40"/>
  <c r="S41"/>
  <c r="S42"/>
  <c r="S43"/>
  <c r="S32"/>
  <c r="U42" l="1"/>
  <c r="U19"/>
  <c r="U20"/>
  <c r="U21"/>
  <c r="U22"/>
  <c r="U23"/>
  <c r="U24"/>
  <c r="U25"/>
  <c r="U26"/>
  <c r="U27"/>
  <c r="U28"/>
  <c r="U29"/>
  <c r="U30"/>
  <c r="U32"/>
  <c r="U33"/>
  <c r="U34"/>
  <c r="U35"/>
  <c r="U36"/>
  <c r="U37"/>
  <c r="U38"/>
  <c r="U39"/>
  <c r="U40"/>
  <c r="U41"/>
  <c r="U43"/>
  <c r="U18"/>
  <c r="Q19"/>
  <c r="Q20"/>
  <c r="Q21"/>
  <c r="Q22"/>
  <c r="Q23"/>
  <c r="Q24"/>
  <c r="Q25"/>
  <c r="Q26"/>
  <c r="Q27"/>
  <c r="Q28"/>
  <c r="Q29"/>
  <c r="Q30"/>
  <c r="Q31"/>
  <c r="Q32"/>
  <c r="Q33"/>
  <c r="Q34"/>
  <c r="Q35"/>
  <c r="Q36"/>
  <c r="Q37"/>
  <c r="Q38"/>
  <c r="Q39"/>
  <c r="Q40"/>
  <c r="Q41"/>
  <c r="Q42"/>
  <c r="Q43"/>
  <c r="Q18"/>
  <c r="A1" i="13" l="1" a="1"/>
  <c r="A1" s="1"/>
  <c r="O17" i="14"/>
  <c r="L17"/>
  <c r="I16"/>
  <c r="F16"/>
  <c r="C10"/>
  <c r="C11"/>
  <c r="C12"/>
  <c r="C13"/>
  <c r="C14"/>
  <c r="C15"/>
  <c r="C16"/>
  <c r="C17"/>
  <c r="C18"/>
  <c r="C9"/>
  <c r="O10"/>
  <c r="O11"/>
  <c r="O12"/>
  <c r="O13"/>
  <c r="O14"/>
  <c r="O15"/>
  <c r="O16"/>
  <c r="O18"/>
  <c r="O9"/>
  <c r="L10"/>
  <c r="L11"/>
  <c r="L12"/>
  <c r="L13"/>
  <c r="L14"/>
  <c r="L15"/>
  <c r="L16"/>
  <c r="L18"/>
  <c r="L9"/>
  <c r="I10"/>
  <c r="I11"/>
  <c r="I12"/>
  <c r="I13"/>
  <c r="I14"/>
  <c r="I15"/>
  <c r="I17"/>
  <c r="I18"/>
  <c r="I9"/>
  <c r="F10"/>
  <c r="F11"/>
  <c r="F12"/>
  <c r="F13"/>
  <c r="F14"/>
  <c r="F15"/>
  <c r="F17"/>
  <c r="F18"/>
  <c r="F9"/>
  <c r="D45" i="13" l="1"/>
  <c r="F44"/>
  <c r="B44"/>
  <c r="D43"/>
  <c r="F42"/>
  <c r="B42"/>
  <c r="D41"/>
  <c r="F40"/>
  <c r="B40"/>
  <c r="D39"/>
  <c r="F38"/>
  <c r="B38"/>
  <c r="D37"/>
  <c r="F36"/>
  <c r="B36"/>
  <c r="D35"/>
  <c r="F34"/>
  <c r="B34"/>
  <c r="D33"/>
  <c r="F32"/>
  <c r="B32"/>
  <c r="D31"/>
  <c r="F30"/>
  <c r="B30"/>
  <c r="D29"/>
  <c r="F28"/>
  <c r="B28"/>
  <c r="D27"/>
  <c r="F26"/>
  <c r="B26"/>
  <c r="D25"/>
  <c r="F24"/>
  <c r="B24"/>
  <c r="D23"/>
  <c r="F22"/>
  <c r="B22"/>
  <c r="D21"/>
  <c r="F20"/>
  <c r="B20"/>
  <c r="D19"/>
  <c r="F18"/>
  <c r="B18"/>
  <c r="D17"/>
  <c r="F16"/>
  <c r="B16"/>
  <c r="D15"/>
  <c r="F14"/>
  <c r="B14"/>
  <c r="D13"/>
  <c r="F12"/>
  <c r="B12"/>
  <c r="D11"/>
  <c r="F10"/>
  <c r="B10"/>
  <c r="D9"/>
  <c r="F8"/>
  <c r="B8"/>
  <c r="D7"/>
  <c r="F6"/>
  <c r="B6"/>
  <c r="D5"/>
  <c r="F4"/>
  <c r="B4"/>
  <c r="D3"/>
  <c r="F2"/>
  <c r="B2"/>
  <c r="D1"/>
  <c r="F45"/>
  <c r="B45"/>
  <c r="D44"/>
  <c r="F43"/>
  <c r="B43"/>
  <c r="D42"/>
  <c r="F41"/>
  <c r="B41"/>
  <c r="D40"/>
  <c r="F39"/>
  <c r="B39"/>
  <c r="D38"/>
  <c r="F37"/>
  <c r="B37"/>
  <c r="D36"/>
  <c r="F35"/>
  <c r="B35"/>
  <c r="D34"/>
  <c r="F33"/>
  <c r="B33"/>
  <c r="D32"/>
  <c r="F31"/>
  <c r="B31"/>
  <c r="D30"/>
  <c r="F29"/>
  <c r="B29"/>
  <c r="D28"/>
  <c r="F27"/>
  <c r="B27"/>
  <c r="D26"/>
  <c r="F25"/>
  <c r="B25"/>
  <c r="D24"/>
  <c r="F23"/>
  <c r="B23"/>
  <c r="D22"/>
  <c r="F21"/>
  <c r="B21"/>
  <c r="D20"/>
  <c r="F19"/>
  <c r="B19"/>
  <c r="D18"/>
  <c r="F17"/>
  <c r="B17"/>
  <c r="D16"/>
  <c r="F15"/>
  <c r="B15"/>
  <c r="D14"/>
  <c r="F13"/>
  <c r="B13"/>
  <c r="D12"/>
  <c r="F11"/>
  <c r="B11"/>
  <c r="D10"/>
  <c r="F9"/>
  <c r="B9"/>
  <c r="D8"/>
  <c r="F7"/>
  <c r="B7"/>
  <c r="D6"/>
  <c r="F5"/>
  <c r="B5"/>
  <c r="D4"/>
  <c r="F3"/>
  <c r="B3"/>
  <c r="D2"/>
  <c r="F1"/>
  <c r="B1"/>
  <c r="E45"/>
  <c r="C45"/>
  <c r="A45"/>
  <c r="E44"/>
  <c r="C44"/>
  <c r="A44"/>
  <c r="E43"/>
  <c r="C43"/>
  <c r="A43"/>
  <c r="E42"/>
  <c r="C42"/>
  <c r="A42"/>
  <c r="E41"/>
  <c r="C41"/>
  <c r="A41"/>
  <c r="E40"/>
  <c r="C40"/>
  <c r="A40"/>
  <c r="E39"/>
  <c r="C39"/>
  <c r="A39"/>
  <c r="E38"/>
  <c r="C38"/>
  <c r="A38"/>
  <c r="E37"/>
  <c r="C37"/>
  <c r="A37"/>
  <c r="E36"/>
  <c r="C36"/>
  <c r="A36"/>
  <c r="E35"/>
  <c r="C35"/>
  <c r="A35"/>
  <c r="E34"/>
  <c r="C34"/>
  <c r="A34"/>
  <c r="E33"/>
  <c r="C33"/>
  <c r="A33"/>
  <c r="E32"/>
  <c r="C32"/>
  <c r="A32"/>
  <c r="E31"/>
  <c r="C31"/>
  <c r="A31"/>
  <c r="E30"/>
  <c r="C30"/>
  <c r="A30"/>
  <c r="E29"/>
  <c r="C29"/>
  <c r="A29"/>
  <c r="E28"/>
  <c r="C28"/>
  <c r="A28"/>
  <c r="E27"/>
  <c r="C27"/>
  <c r="A27"/>
  <c r="E26"/>
  <c r="C26"/>
  <c r="A26"/>
  <c r="E25"/>
  <c r="C25"/>
  <c r="A25"/>
  <c r="E24"/>
  <c r="C24"/>
  <c r="A24"/>
  <c r="E23"/>
  <c r="C23"/>
  <c r="A23"/>
  <c r="E22"/>
  <c r="C22"/>
  <c r="A22"/>
  <c r="E21"/>
  <c r="C21"/>
  <c r="A21"/>
  <c r="E20"/>
  <c r="C20"/>
  <c r="A20"/>
  <c r="E19"/>
  <c r="C19"/>
  <c r="A19"/>
  <c r="E18"/>
  <c r="C18"/>
  <c r="A18"/>
  <c r="E17"/>
  <c r="C17"/>
  <c r="A17"/>
  <c r="E16"/>
  <c r="C16"/>
  <c r="A16"/>
  <c r="E15"/>
  <c r="C15"/>
  <c r="A15"/>
  <c r="E14"/>
  <c r="C14"/>
  <c r="A14"/>
  <c r="E13"/>
  <c r="C13"/>
  <c r="A13"/>
  <c r="E12"/>
  <c r="C12"/>
  <c r="A12"/>
  <c r="E11"/>
  <c r="C11"/>
  <c r="A11"/>
  <c r="E10"/>
  <c r="C10"/>
  <c r="A10"/>
  <c r="E9"/>
  <c r="C9"/>
  <c r="A9"/>
  <c r="E8"/>
  <c r="C8"/>
  <c r="A8"/>
  <c r="E7"/>
  <c r="C7"/>
  <c r="A7"/>
  <c r="E6"/>
  <c r="C6"/>
  <c r="A6"/>
  <c r="E5"/>
  <c r="C5"/>
  <c r="A5"/>
  <c r="E4"/>
  <c r="C4"/>
  <c r="A4"/>
  <c r="E3"/>
  <c r="C3"/>
  <c r="A3"/>
  <c r="E2"/>
  <c r="C2"/>
  <c r="A2"/>
  <c r="E1"/>
  <c r="C1"/>
  <c r="M53" i="8"/>
  <c r="K53"/>
  <c r="I53"/>
  <c r="G53"/>
  <c r="E53"/>
  <c r="M52"/>
  <c r="K52"/>
  <c r="I52"/>
  <c r="G52"/>
  <c r="E52"/>
  <c r="M51"/>
  <c r="K51"/>
  <c r="I51"/>
  <c r="G51"/>
  <c r="E51"/>
  <c r="M50"/>
  <c r="K50"/>
  <c r="I50"/>
  <c r="G50"/>
  <c r="E50"/>
  <c r="M49"/>
  <c r="K49"/>
  <c r="I49"/>
  <c r="G49"/>
  <c r="E49"/>
  <c r="M48"/>
  <c r="K48"/>
  <c r="I48"/>
  <c r="G48"/>
  <c r="E48"/>
  <c r="M47"/>
  <c r="K47"/>
  <c r="I47"/>
  <c r="G47"/>
  <c r="E47"/>
  <c r="M46"/>
  <c r="K46"/>
  <c r="I46"/>
  <c r="G46"/>
  <c r="E46"/>
  <c r="M45"/>
  <c r="K45"/>
  <c r="I45"/>
  <c r="G45"/>
  <c r="E45"/>
  <c r="M44"/>
  <c r="K44"/>
  <c r="I44"/>
  <c r="G44"/>
  <c r="E44"/>
  <c r="M43"/>
  <c r="K43"/>
  <c r="I43"/>
  <c r="G43"/>
  <c r="E43"/>
  <c r="M42"/>
  <c r="K42"/>
  <c r="I42"/>
  <c r="G42"/>
  <c r="E42"/>
  <c r="C42"/>
  <c r="M41"/>
  <c r="K41"/>
  <c r="I41"/>
  <c r="G41"/>
  <c r="E41"/>
  <c r="C41"/>
  <c r="M40"/>
  <c r="K40"/>
  <c r="I40"/>
  <c r="G40"/>
  <c r="E40"/>
  <c r="C40"/>
  <c r="M39"/>
  <c r="K39"/>
  <c r="I39"/>
  <c r="G39"/>
  <c r="E39"/>
  <c r="C39"/>
  <c r="M38"/>
  <c r="K38"/>
  <c r="I38"/>
  <c r="G38"/>
  <c r="E38"/>
  <c r="C38"/>
  <c r="M37"/>
  <c r="K37"/>
  <c r="I37"/>
  <c r="G37"/>
  <c r="E37"/>
  <c r="C37"/>
  <c r="M36"/>
  <c r="K36"/>
  <c r="I36"/>
  <c r="G36"/>
  <c r="E36"/>
  <c r="C36"/>
  <c r="M35"/>
  <c r="K35"/>
  <c r="I35"/>
  <c r="G35"/>
  <c r="E35"/>
  <c r="C35"/>
  <c r="M34"/>
  <c r="K34"/>
  <c r="I34"/>
  <c r="G34"/>
  <c r="E34"/>
  <c r="C34"/>
  <c r="M33"/>
  <c r="K33"/>
  <c r="I33"/>
  <c r="G33"/>
  <c r="E33"/>
  <c r="C33"/>
  <c r="M32"/>
  <c r="K32"/>
  <c r="I32"/>
  <c r="G32"/>
  <c r="E32"/>
  <c r="C32"/>
  <c r="M31"/>
  <c r="K31"/>
  <c r="I31"/>
  <c r="G31"/>
  <c r="E31"/>
  <c r="C31"/>
  <c r="M30"/>
  <c r="K30"/>
  <c r="I30"/>
  <c r="G30"/>
  <c r="E30"/>
  <c r="C30"/>
  <c r="M29"/>
  <c r="K29"/>
  <c r="I29"/>
  <c r="G29"/>
  <c r="E29"/>
  <c r="C29"/>
  <c r="M28"/>
  <c r="K28"/>
  <c r="I28"/>
  <c r="G28"/>
  <c r="E28"/>
  <c r="C28"/>
  <c r="M27"/>
  <c r="K27"/>
  <c r="I27"/>
  <c r="G27"/>
  <c r="E27"/>
  <c r="C27"/>
  <c r="M26"/>
  <c r="K26"/>
  <c r="I26"/>
  <c r="G26"/>
  <c r="E26"/>
  <c r="C26"/>
  <c r="M25"/>
  <c r="K25"/>
  <c r="I25"/>
  <c r="G25"/>
  <c r="E25"/>
  <c r="C25"/>
  <c r="M24"/>
  <c r="K24"/>
  <c r="I24"/>
  <c r="G24"/>
  <c r="E24"/>
  <c r="C24"/>
  <c r="M23"/>
  <c r="K23"/>
  <c r="I23"/>
  <c r="G23"/>
  <c r="E23"/>
  <c r="C23"/>
  <c r="M22"/>
  <c r="K22"/>
  <c r="I22"/>
  <c r="G22"/>
  <c r="E22"/>
  <c r="C22"/>
  <c r="M21"/>
  <c r="K21"/>
  <c r="I21"/>
  <c r="G21"/>
  <c r="E21"/>
  <c r="C21"/>
  <c r="M20"/>
  <c r="K20"/>
  <c r="I20"/>
  <c r="G20"/>
  <c r="E20"/>
  <c r="C20"/>
  <c r="M19"/>
  <c r="K19"/>
  <c r="I19"/>
  <c r="G19"/>
  <c r="E19"/>
  <c r="C19"/>
  <c r="M18"/>
  <c r="K18"/>
  <c r="I18"/>
  <c r="G18"/>
  <c r="E18"/>
  <c r="C18"/>
  <c r="M17"/>
  <c r="K17"/>
  <c r="I17"/>
  <c r="G17"/>
  <c r="E17"/>
  <c r="C17"/>
  <c r="M16"/>
  <c r="K16"/>
  <c r="I16"/>
  <c r="G16"/>
  <c r="E16"/>
  <c r="C16"/>
  <c r="M15"/>
  <c r="K15"/>
  <c r="I15"/>
  <c r="G15"/>
  <c r="E15"/>
  <c r="C15"/>
  <c r="M14"/>
  <c r="K14"/>
  <c r="I14"/>
  <c r="G14"/>
  <c r="E14"/>
  <c r="C14"/>
  <c r="M13"/>
  <c r="K13"/>
  <c r="I13"/>
  <c r="G13"/>
  <c r="E13"/>
  <c r="C13"/>
  <c r="M12"/>
  <c r="K12"/>
  <c r="I12"/>
  <c r="G12"/>
  <c r="E12"/>
  <c r="C12"/>
  <c r="M11"/>
  <c r="K11"/>
  <c r="I11"/>
  <c r="G11"/>
  <c r="E11"/>
  <c r="C11"/>
  <c r="M10"/>
  <c r="K10"/>
  <c r="I10"/>
  <c r="G10"/>
  <c r="E10"/>
  <c r="C10"/>
  <c r="M9"/>
  <c r="K9"/>
  <c r="I9"/>
  <c r="G9"/>
  <c r="E9"/>
  <c r="C9"/>
  <c r="M8"/>
  <c r="K8"/>
  <c r="I8"/>
  <c r="G8"/>
  <c r="E8"/>
  <c r="C8"/>
  <c r="M7"/>
  <c r="K7"/>
  <c r="I7"/>
  <c r="G7"/>
  <c r="E7"/>
  <c r="C7"/>
  <c r="M6"/>
  <c r="K6"/>
  <c r="I6"/>
  <c r="E6"/>
  <c r="C6"/>
  <c r="N5"/>
  <c r="L5"/>
  <c r="J5"/>
  <c r="H5"/>
  <c r="F5"/>
  <c r="D5"/>
  <c r="F6" l="1"/>
  <c r="L6"/>
  <c r="D7"/>
  <c r="H7"/>
  <c r="L7"/>
  <c r="D8"/>
  <c r="H8"/>
  <c r="L8"/>
  <c r="D9"/>
  <c r="H9"/>
  <c r="L9"/>
  <c r="D10"/>
  <c r="H10"/>
  <c r="L10"/>
  <c r="D11"/>
  <c r="D6"/>
  <c r="J6"/>
  <c r="N6"/>
  <c r="F7"/>
  <c r="J7"/>
  <c r="N7"/>
  <c r="F8"/>
  <c r="J8"/>
  <c r="N8"/>
  <c r="F9"/>
  <c r="J9"/>
  <c r="N9"/>
  <c r="F10"/>
  <c r="J10"/>
  <c r="N10"/>
  <c r="F11"/>
  <c r="G6"/>
  <c r="H6" s="1"/>
  <c r="J11"/>
  <c r="N11"/>
  <c r="F12"/>
  <c r="J12"/>
  <c r="N12"/>
  <c r="F13"/>
  <c r="J13"/>
  <c r="N13"/>
  <c r="F14"/>
  <c r="J14"/>
  <c r="N14"/>
  <c r="F15"/>
  <c r="J15"/>
  <c r="N15"/>
  <c r="F16"/>
  <c r="J16"/>
  <c r="N16"/>
  <c r="F17"/>
  <c r="J17"/>
  <c r="N17"/>
  <c r="F18"/>
  <c r="J18"/>
  <c r="N18"/>
  <c r="F19"/>
  <c r="J19"/>
  <c r="N19"/>
  <c r="F20"/>
  <c r="J20"/>
  <c r="N20"/>
  <c r="F21"/>
  <c r="J21"/>
  <c r="N21"/>
  <c r="F22"/>
  <c r="J22"/>
  <c r="N22"/>
  <c r="F23"/>
  <c r="J23"/>
  <c r="N23"/>
  <c r="F24"/>
  <c r="J24"/>
  <c r="N24"/>
  <c r="F25"/>
  <c r="J25"/>
  <c r="N25"/>
  <c r="F26"/>
  <c r="J26"/>
  <c r="N26"/>
  <c r="F27"/>
  <c r="J27"/>
  <c r="N27"/>
  <c r="F28"/>
  <c r="J28"/>
  <c r="N28"/>
  <c r="F29"/>
  <c r="J29"/>
  <c r="N29"/>
  <c r="F30"/>
  <c r="J30"/>
  <c r="N30"/>
  <c r="F31"/>
  <c r="J31"/>
  <c r="N31"/>
  <c r="F32"/>
  <c r="J32"/>
  <c r="N32"/>
  <c r="F33"/>
  <c r="J33"/>
  <c r="N33"/>
  <c r="F34"/>
  <c r="J34"/>
  <c r="N34"/>
  <c r="F35"/>
  <c r="J35"/>
  <c r="N35"/>
  <c r="F36"/>
  <c r="J36"/>
  <c r="N36"/>
  <c r="F37"/>
  <c r="J37"/>
  <c r="N37"/>
  <c r="F38"/>
  <c r="J38"/>
  <c r="N38"/>
  <c r="F39"/>
  <c r="J39"/>
  <c r="N39"/>
  <c r="F40"/>
  <c r="J40"/>
  <c r="N40"/>
  <c r="F41"/>
  <c r="J41"/>
  <c r="N41"/>
  <c r="F42"/>
  <c r="J42"/>
  <c r="N42"/>
  <c r="F43"/>
  <c r="J43"/>
  <c r="N43"/>
  <c r="F44"/>
  <c r="J44"/>
  <c r="N44"/>
  <c r="F45"/>
  <c r="J45"/>
  <c r="N45"/>
  <c r="F46"/>
  <c r="J46"/>
  <c r="N46"/>
  <c r="F47"/>
  <c r="J47"/>
  <c r="N47"/>
  <c r="F48"/>
  <c r="J48"/>
  <c r="N48"/>
  <c r="F49"/>
  <c r="J49"/>
  <c r="N49"/>
  <c r="F50"/>
  <c r="J50"/>
  <c r="N50"/>
  <c r="F51"/>
  <c r="J51"/>
  <c r="N51"/>
  <c r="F52"/>
  <c r="J52"/>
  <c r="N52"/>
  <c r="F53"/>
  <c r="J53"/>
  <c r="N53"/>
  <c r="H11"/>
  <c r="L11"/>
  <c r="D12"/>
  <c r="H12"/>
  <c r="L12"/>
  <c r="D13"/>
  <c r="H13"/>
  <c r="L13"/>
  <c r="D14"/>
  <c r="H14"/>
  <c r="L14"/>
  <c r="D15"/>
  <c r="H15"/>
  <c r="L15"/>
  <c r="D16"/>
  <c r="H16"/>
  <c r="L16"/>
  <c r="D17"/>
  <c r="H17"/>
  <c r="L17"/>
  <c r="D18"/>
  <c r="H18"/>
  <c r="L18"/>
  <c r="D19"/>
  <c r="H19"/>
  <c r="L19"/>
  <c r="D20"/>
  <c r="H20"/>
  <c r="L20"/>
  <c r="D21"/>
  <c r="H21"/>
  <c r="L21"/>
  <c r="D22"/>
  <c r="H22"/>
  <c r="L22"/>
  <c r="D23"/>
  <c r="H23"/>
  <c r="L23"/>
  <c r="D24"/>
  <c r="H24"/>
  <c r="L24"/>
  <c r="D25"/>
  <c r="H25"/>
  <c r="L25"/>
  <c r="D26"/>
  <c r="H26"/>
  <c r="L26"/>
  <c r="D27"/>
  <c r="H27"/>
  <c r="L27"/>
  <c r="D28"/>
  <c r="H28"/>
  <c r="L28"/>
  <c r="D29"/>
  <c r="H29"/>
  <c r="L29"/>
  <c r="D30"/>
  <c r="H30"/>
  <c r="L30"/>
  <c r="D31"/>
  <c r="H31"/>
  <c r="L31"/>
  <c r="D32"/>
  <c r="H32"/>
  <c r="L32"/>
  <c r="D33"/>
  <c r="H33"/>
  <c r="L33"/>
  <c r="D34"/>
  <c r="H34"/>
  <c r="L34"/>
  <c r="D35"/>
  <c r="H35"/>
  <c r="L35"/>
  <c r="D36"/>
  <c r="H36"/>
  <c r="L36"/>
  <c r="D37"/>
  <c r="H37"/>
  <c r="L37"/>
  <c r="D38"/>
  <c r="H38"/>
  <c r="L38"/>
  <c r="D39"/>
  <c r="H39"/>
  <c r="L39"/>
  <c r="D40"/>
  <c r="H40"/>
  <c r="L40"/>
  <c r="D41"/>
  <c r="H41"/>
  <c r="L41"/>
  <c r="D42"/>
  <c r="H42"/>
  <c r="L42"/>
  <c r="H43"/>
  <c r="L43"/>
  <c r="H44"/>
  <c r="L44"/>
  <c r="H45"/>
  <c r="L45"/>
  <c r="H46"/>
  <c r="L46"/>
  <c r="H47"/>
  <c r="L47"/>
  <c r="H48"/>
  <c r="L48"/>
  <c r="H49"/>
  <c r="L49"/>
  <c r="H50"/>
  <c r="L50"/>
  <c r="H51"/>
  <c r="L51"/>
  <c r="H52"/>
  <c r="L52"/>
  <c r="H53"/>
  <c r="L53"/>
  <c r="G30" i="9"/>
  <c r="BD40" i="6" l="1"/>
  <c r="BC40"/>
  <c r="BB40"/>
  <c r="BA40"/>
  <c r="AZ40"/>
  <c r="AY40"/>
  <c r="AX40"/>
  <c r="AW40"/>
  <c r="AV40"/>
  <c r="AU40"/>
  <c r="AT40"/>
  <c r="AS40"/>
  <c r="AR40"/>
  <c r="AQ40"/>
  <c r="AP40"/>
  <c r="AO40"/>
  <c r="AN40"/>
  <c r="AM40"/>
  <c r="AL40"/>
  <c r="AK40"/>
  <c r="AJ40"/>
  <c r="AI40"/>
  <c r="AH40"/>
  <c r="AG40"/>
  <c r="AF40"/>
  <c r="AE40"/>
  <c r="AD40"/>
  <c r="AC40"/>
  <c r="AB40"/>
  <c r="AA40"/>
  <c r="Z40"/>
  <c r="Y40"/>
  <c r="X40"/>
  <c r="W40"/>
  <c r="V40"/>
  <c r="U40"/>
  <c r="T40"/>
  <c r="S40"/>
  <c r="R40"/>
  <c r="Q40"/>
  <c r="P40"/>
  <c r="O40"/>
  <c r="N40"/>
  <c r="M40"/>
  <c r="L40"/>
  <c r="K40"/>
  <c r="J40"/>
  <c r="I40"/>
  <c r="D56" i="8" l="1"/>
  <c r="AC53" l="1"/>
  <c r="AA53"/>
  <c r="Y53"/>
  <c r="W53"/>
  <c r="U53"/>
  <c r="S53"/>
  <c r="AC52"/>
  <c r="AA52"/>
  <c r="Y52"/>
  <c r="W52"/>
  <c r="U52"/>
  <c r="S52"/>
  <c r="AC51"/>
  <c r="AA51"/>
  <c r="Y51"/>
  <c r="W51"/>
  <c r="U51"/>
  <c r="S51"/>
  <c r="AC50"/>
  <c r="AA50"/>
  <c r="Y50"/>
  <c r="W50"/>
  <c r="U50"/>
  <c r="S50"/>
  <c r="AC49"/>
  <c r="AA49"/>
  <c r="Y49"/>
  <c r="W49"/>
  <c r="U49"/>
  <c r="S49"/>
  <c r="AC48"/>
  <c r="AA48"/>
  <c r="Y48"/>
  <c r="W48"/>
  <c r="U48"/>
  <c r="S48"/>
  <c r="AC47"/>
  <c r="AA47"/>
  <c r="Y47"/>
  <c r="W47"/>
  <c r="U47"/>
  <c r="S47"/>
  <c r="AC46"/>
  <c r="AA46"/>
  <c r="Y46"/>
  <c r="W46"/>
  <c r="U46"/>
  <c r="S46"/>
  <c r="AC45"/>
  <c r="AA45"/>
  <c r="Y45"/>
  <c r="W45"/>
  <c r="U45"/>
  <c r="S45"/>
  <c r="AC44"/>
  <c r="AA44"/>
  <c r="Y44"/>
  <c r="W44"/>
  <c r="U44"/>
  <c r="S44"/>
  <c r="AC43"/>
  <c r="AA43"/>
  <c r="Y43"/>
  <c r="W43"/>
  <c r="U43"/>
  <c r="S43"/>
  <c r="AC42"/>
  <c r="AA42"/>
  <c r="Y42"/>
  <c r="W42"/>
  <c r="U42"/>
  <c r="S42"/>
  <c r="AC41"/>
  <c r="AA41"/>
  <c r="Y41"/>
  <c r="W41"/>
  <c r="U41"/>
  <c r="S41"/>
  <c r="AC40"/>
  <c r="AA40"/>
  <c r="Y40"/>
  <c r="W40"/>
  <c r="U40"/>
  <c r="S40"/>
  <c r="AC39"/>
  <c r="AA39"/>
  <c r="Y39"/>
  <c r="W39"/>
  <c r="U39"/>
  <c r="S39"/>
  <c r="AC38"/>
  <c r="AA38"/>
  <c r="Y38"/>
  <c r="W38"/>
  <c r="U38"/>
  <c r="S38"/>
  <c r="AC37"/>
  <c r="AA37"/>
  <c r="Y37"/>
  <c r="W37"/>
  <c r="U37"/>
  <c r="S37"/>
  <c r="AC36" l="1"/>
  <c r="AA36"/>
  <c r="Y36"/>
  <c r="W36"/>
  <c r="U36"/>
  <c r="S36"/>
  <c r="AC35"/>
  <c r="AA35"/>
  <c r="Y35"/>
  <c r="W35"/>
  <c r="U35"/>
  <c r="S35"/>
  <c r="AC34"/>
  <c r="AA34"/>
  <c r="Y34"/>
  <c r="W34"/>
  <c r="U34"/>
  <c r="S34"/>
  <c r="AC33"/>
  <c r="AA33"/>
  <c r="Y33"/>
  <c r="W33"/>
  <c r="U33"/>
  <c r="S33"/>
  <c r="AC32"/>
  <c r="AA32"/>
  <c r="Y32"/>
  <c r="W32"/>
  <c r="U32"/>
  <c r="S32"/>
  <c r="AC31" l="1"/>
  <c r="AA31"/>
  <c r="Y31"/>
  <c r="W31"/>
  <c r="U31"/>
  <c r="S31"/>
  <c r="AC30"/>
  <c r="AA30"/>
  <c r="Y30"/>
  <c r="W30"/>
  <c r="U30"/>
  <c r="S30"/>
  <c r="AC29"/>
  <c r="AA29"/>
  <c r="Y29"/>
  <c r="W29"/>
  <c r="U29"/>
  <c r="S29"/>
  <c r="AC28"/>
  <c r="AA28"/>
  <c r="Y28"/>
  <c r="W28"/>
  <c r="U28"/>
  <c r="S28"/>
  <c r="AC27"/>
  <c r="AA27"/>
  <c r="Y27"/>
  <c r="W27"/>
  <c r="U27"/>
  <c r="S27"/>
  <c r="AC26"/>
  <c r="AA26"/>
  <c r="Y26"/>
  <c r="W26"/>
  <c r="U26"/>
  <c r="S26"/>
  <c r="AC25"/>
  <c r="AA25"/>
  <c r="Y25"/>
  <c r="W25"/>
  <c r="U25"/>
  <c r="S25"/>
  <c r="AC24"/>
  <c r="AA24"/>
  <c r="Y24"/>
  <c r="W24"/>
  <c r="U24"/>
  <c r="S24"/>
  <c r="AC23"/>
  <c r="AA23"/>
  <c r="Y23"/>
  <c r="W23"/>
  <c r="U23"/>
  <c r="S23"/>
  <c r="AC22"/>
  <c r="AA22"/>
  <c r="Y22"/>
  <c r="W22"/>
  <c r="U22"/>
  <c r="S22"/>
  <c r="AC21"/>
  <c r="AA21"/>
  <c r="Y21"/>
  <c r="W21"/>
  <c r="U21"/>
  <c r="S21"/>
  <c r="AC20"/>
  <c r="AA20"/>
  <c r="Y20"/>
  <c r="W20"/>
  <c r="U20"/>
  <c r="S20"/>
  <c r="AC19"/>
  <c r="AA19"/>
  <c r="Y19"/>
  <c r="W19"/>
  <c r="U19"/>
  <c r="S19"/>
  <c r="AC18"/>
  <c r="AA18"/>
  <c r="Y18"/>
  <c r="W18"/>
  <c r="U18"/>
  <c r="S18"/>
  <c r="AC17"/>
  <c r="AA17"/>
  <c r="Y17"/>
  <c r="W17"/>
  <c r="U17"/>
  <c r="S17"/>
  <c r="AC16"/>
  <c r="AA16"/>
  <c r="Y16"/>
  <c r="W16"/>
  <c r="U16"/>
  <c r="S16"/>
  <c r="AC15"/>
  <c r="AA15"/>
  <c r="Y15"/>
  <c r="W15"/>
  <c r="U15"/>
  <c r="S15"/>
  <c r="AC14"/>
  <c r="AA14"/>
  <c r="Y14"/>
  <c r="W14"/>
  <c r="U14"/>
  <c r="S14"/>
  <c r="AC13"/>
  <c r="AA13"/>
  <c r="Y13"/>
  <c r="W13"/>
  <c r="U13"/>
  <c r="S13"/>
  <c r="AC12"/>
  <c r="AA12"/>
  <c r="Y12"/>
  <c r="W12"/>
  <c r="U12"/>
  <c r="S12"/>
  <c r="AC11"/>
  <c r="AA11"/>
  <c r="Y11"/>
  <c r="W11"/>
  <c r="U11"/>
  <c r="S11"/>
  <c r="AC10"/>
  <c r="AA10"/>
  <c r="Y10"/>
  <c r="W10"/>
  <c r="U10"/>
  <c r="S10"/>
  <c r="AC9"/>
  <c r="AA9"/>
  <c r="Y9"/>
  <c r="W9"/>
  <c r="U9"/>
  <c r="S9"/>
  <c r="AC8"/>
  <c r="AA8"/>
  <c r="Y8"/>
  <c r="W8"/>
  <c r="U8"/>
  <c r="S8"/>
  <c r="AC7"/>
  <c r="AA7"/>
  <c r="Y7"/>
  <c r="W7"/>
  <c r="U7"/>
  <c r="S7"/>
  <c r="AC6"/>
  <c r="AA6"/>
  <c r="Y6"/>
  <c r="W6"/>
  <c r="U6"/>
  <c r="S6"/>
  <c r="AD5"/>
  <c r="AB5"/>
  <c r="Z5"/>
  <c r="X5"/>
  <c r="V5"/>
  <c r="T5"/>
  <c r="AD33"/>
  <c r="Z32"/>
  <c r="V33"/>
  <c r="X41" i="9"/>
  <c r="W41"/>
  <c r="S41"/>
  <c r="R41"/>
  <c r="N41"/>
  <c r="M41"/>
  <c r="D57" i="8" l="1"/>
  <c r="T40"/>
  <c r="T37"/>
  <c r="T41"/>
  <c r="T45"/>
  <c r="T47"/>
  <c r="T49"/>
  <c r="T51"/>
  <c r="T53"/>
  <c r="T38"/>
  <c r="T42"/>
  <c r="T39"/>
  <c r="T43"/>
  <c r="T44"/>
  <c r="T46"/>
  <c r="T48"/>
  <c r="T50"/>
  <c r="T52"/>
  <c r="X37"/>
  <c r="X41"/>
  <c r="X38"/>
  <c r="X42"/>
  <c r="X44"/>
  <c r="X46"/>
  <c r="X48"/>
  <c r="X50"/>
  <c r="X52"/>
  <c r="X39"/>
  <c r="X43"/>
  <c r="X40"/>
  <c r="X45"/>
  <c r="X47"/>
  <c r="X49"/>
  <c r="X51"/>
  <c r="X53"/>
  <c r="AB38"/>
  <c r="AB42"/>
  <c r="AB39"/>
  <c r="AB43"/>
  <c r="AB45"/>
  <c r="AB47"/>
  <c r="AB49"/>
  <c r="AB51"/>
  <c r="AB53"/>
  <c r="AB40"/>
  <c r="AB37"/>
  <c r="AB41"/>
  <c r="AB44"/>
  <c r="AB46"/>
  <c r="AB48"/>
  <c r="AB50"/>
  <c r="AB52"/>
  <c r="V6"/>
  <c r="Z6"/>
  <c r="AD6"/>
  <c r="V7"/>
  <c r="Z7"/>
  <c r="AD7"/>
  <c r="V8"/>
  <c r="Z8"/>
  <c r="AD8"/>
  <c r="V9"/>
  <c r="Z9"/>
  <c r="AD9"/>
  <c r="V10"/>
  <c r="Z10"/>
  <c r="AD10"/>
  <c r="V11"/>
  <c r="Z11"/>
  <c r="AD11"/>
  <c r="V12"/>
  <c r="Z12"/>
  <c r="AD12"/>
  <c r="V13"/>
  <c r="Z13"/>
  <c r="AD13"/>
  <c r="V14"/>
  <c r="Z14"/>
  <c r="AD14"/>
  <c r="V15"/>
  <c r="Z15"/>
  <c r="AD15"/>
  <c r="V16"/>
  <c r="Z16"/>
  <c r="AD16"/>
  <c r="V17"/>
  <c r="Z17"/>
  <c r="AD17"/>
  <c r="V18"/>
  <c r="Z18"/>
  <c r="AD18"/>
  <c r="V19"/>
  <c r="Z19"/>
  <c r="AD19"/>
  <c r="V20"/>
  <c r="Z20"/>
  <c r="AD20"/>
  <c r="V21"/>
  <c r="Z21"/>
  <c r="AD21"/>
  <c r="V22"/>
  <c r="Z22"/>
  <c r="AD22"/>
  <c r="V23"/>
  <c r="Z23"/>
  <c r="AD23"/>
  <c r="V24"/>
  <c r="Z24"/>
  <c r="AD24"/>
  <c r="V25"/>
  <c r="Z25"/>
  <c r="AD25"/>
  <c r="V26"/>
  <c r="Z26"/>
  <c r="AD26"/>
  <c r="V27"/>
  <c r="Z27"/>
  <c r="AD27"/>
  <c r="V28"/>
  <c r="Z28"/>
  <c r="AD28"/>
  <c r="V29"/>
  <c r="Z29"/>
  <c r="AD29"/>
  <c r="V30"/>
  <c r="Z30"/>
  <c r="AD30"/>
  <c r="V31"/>
  <c r="Z31"/>
  <c r="AD31"/>
  <c r="AB36"/>
  <c r="T36"/>
  <c r="X35"/>
  <c r="AB34"/>
  <c r="T34"/>
  <c r="X33"/>
  <c r="AB32"/>
  <c r="Z36"/>
  <c r="AD35"/>
  <c r="V35"/>
  <c r="Z34"/>
  <c r="X32"/>
  <c r="V37"/>
  <c r="V39"/>
  <c r="V41"/>
  <c r="V43"/>
  <c r="V45"/>
  <c r="V47"/>
  <c r="V49"/>
  <c r="V51"/>
  <c r="V53"/>
  <c r="V38"/>
  <c r="V40"/>
  <c r="V42"/>
  <c r="V44"/>
  <c r="V46"/>
  <c r="V48"/>
  <c r="V50"/>
  <c r="V52"/>
  <c r="Z38"/>
  <c r="Z40"/>
  <c r="Z42"/>
  <c r="Z44"/>
  <c r="Z46"/>
  <c r="Z48"/>
  <c r="Z50"/>
  <c r="Z52"/>
  <c r="Z37"/>
  <c r="Z39"/>
  <c r="Z41"/>
  <c r="Z43"/>
  <c r="Z45"/>
  <c r="Z47"/>
  <c r="Z49"/>
  <c r="Z51"/>
  <c r="Z53"/>
  <c r="AD37"/>
  <c r="AD39"/>
  <c r="AD41"/>
  <c r="AD43"/>
  <c r="AD45"/>
  <c r="AD47"/>
  <c r="AD49"/>
  <c r="AD51"/>
  <c r="AD53"/>
  <c r="AD38"/>
  <c r="AD40"/>
  <c r="AD42"/>
  <c r="AD44"/>
  <c r="AD46"/>
  <c r="AD48"/>
  <c r="AD50"/>
  <c r="AD52"/>
  <c r="T6"/>
  <c r="X6"/>
  <c r="AB6"/>
  <c r="T7"/>
  <c r="X7"/>
  <c r="AB7"/>
  <c r="T8"/>
  <c r="X8"/>
  <c r="AB8"/>
  <c r="T9"/>
  <c r="X9"/>
  <c r="AB9"/>
  <c r="T10"/>
  <c r="X10"/>
  <c r="AB10"/>
  <c r="T11"/>
  <c r="X11"/>
  <c r="AB11"/>
  <c r="T12"/>
  <c r="X12"/>
  <c r="AB12"/>
  <c r="T13"/>
  <c r="X13"/>
  <c r="AB13"/>
  <c r="T14"/>
  <c r="X14"/>
  <c r="AB14"/>
  <c r="T15"/>
  <c r="X15"/>
  <c r="AB15"/>
  <c r="T16"/>
  <c r="X16"/>
  <c r="AB16"/>
  <c r="T17"/>
  <c r="X17"/>
  <c r="AB17"/>
  <c r="T18"/>
  <c r="X18"/>
  <c r="AB18"/>
  <c r="T19"/>
  <c r="X19"/>
  <c r="AB19"/>
  <c r="T20"/>
  <c r="X20"/>
  <c r="AB20"/>
  <c r="T21"/>
  <c r="X21"/>
  <c r="AB21"/>
  <c r="T22"/>
  <c r="X22"/>
  <c r="AB22"/>
  <c r="T23"/>
  <c r="X23"/>
  <c r="AB23"/>
  <c r="T24"/>
  <c r="X24"/>
  <c r="AB24"/>
  <c r="T25"/>
  <c r="X25"/>
  <c r="AB25"/>
  <c r="T26"/>
  <c r="X26"/>
  <c r="AB26"/>
  <c r="T27"/>
  <c r="X27"/>
  <c r="AB27"/>
  <c r="T28"/>
  <c r="X28"/>
  <c r="AB28"/>
  <c r="T29"/>
  <c r="X29"/>
  <c r="AB29"/>
  <c r="T30"/>
  <c r="X30"/>
  <c r="AB30"/>
  <c r="T31"/>
  <c r="X31"/>
  <c r="AB31"/>
  <c r="X36"/>
  <c r="AB35"/>
  <c r="T35"/>
  <c r="X34"/>
  <c r="AB33"/>
  <c r="T33"/>
  <c r="T32"/>
  <c r="AD36"/>
  <c r="V36"/>
  <c r="Z35"/>
  <c r="AD34"/>
  <c r="V34"/>
  <c r="Z33"/>
  <c r="AD32"/>
  <c r="V32"/>
  <c r="H41" i="9"/>
  <c r="X39"/>
  <c r="V39"/>
  <c r="S39"/>
  <c r="Q39"/>
  <c r="N39"/>
  <c r="L39"/>
  <c r="I39"/>
  <c r="G39"/>
  <c r="B39"/>
  <c r="X38"/>
  <c r="V38"/>
  <c r="S38"/>
  <c r="Q38"/>
  <c r="N38"/>
  <c r="L38"/>
  <c r="I38"/>
  <c r="G38"/>
  <c r="B38"/>
  <c r="X37"/>
  <c r="V37"/>
  <c r="S37"/>
  <c r="Q37"/>
  <c r="N37"/>
  <c r="L37"/>
  <c r="I37"/>
  <c r="G37"/>
  <c r="B37"/>
  <c r="X36"/>
  <c r="V36"/>
  <c r="S36"/>
  <c r="Q36"/>
  <c r="N36"/>
  <c r="L36"/>
  <c r="I36"/>
  <c r="G36"/>
  <c r="B36"/>
  <c r="X35"/>
  <c r="V35"/>
  <c r="S35"/>
  <c r="Q35"/>
  <c r="N35"/>
  <c r="L35"/>
  <c r="I35"/>
  <c r="G35"/>
  <c r="B35"/>
  <c r="X34"/>
  <c r="V34"/>
  <c r="S34"/>
  <c r="Q34"/>
  <c r="N34"/>
  <c r="L34"/>
  <c r="I34"/>
  <c r="G34"/>
  <c r="B34"/>
  <c r="X33"/>
  <c r="V33"/>
  <c r="S33"/>
  <c r="Q33"/>
  <c r="N33"/>
  <c r="L33"/>
  <c r="I33"/>
  <c r="G33"/>
  <c r="B33"/>
  <c r="X32"/>
  <c r="V32"/>
  <c r="S32"/>
  <c r="Q32"/>
  <c r="N32"/>
  <c r="L32"/>
  <c r="T37" l="1"/>
  <c r="J33"/>
  <c r="T33"/>
  <c r="Y33"/>
  <c r="J35"/>
  <c r="T35"/>
  <c r="Y35"/>
  <c r="J37"/>
  <c r="O37"/>
  <c r="Y37"/>
  <c r="J39"/>
  <c r="O39"/>
  <c r="T39"/>
  <c r="Y39"/>
  <c r="O32"/>
  <c r="T32"/>
  <c r="Y32"/>
  <c r="J34"/>
  <c r="O34"/>
  <c r="T34"/>
  <c r="Y34"/>
  <c r="J36"/>
  <c r="O36"/>
  <c r="T36"/>
  <c r="Y36"/>
  <c r="J38"/>
  <c r="O38"/>
  <c r="T38"/>
  <c r="Y38"/>
  <c r="O33"/>
  <c r="O35"/>
  <c r="I32"/>
  <c r="G32"/>
  <c r="B32"/>
  <c r="X31"/>
  <c r="V31"/>
  <c r="S31"/>
  <c r="Q31"/>
  <c r="N31"/>
  <c r="L31"/>
  <c r="I31"/>
  <c r="G31"/>
  <c r="B31"/>
  <c r="X30"/>
  <c r="V30"/>
  <c r="S30"/>
  <c r="Q30"/>
  <c r="N30"/>
  <c r="L30"/>
  <c r="I30"/>
  <c r="B30"/>
  <c r="X22"/>
  <c r="V22"/>
  <c r="S22"/>
  <c r="Q22"/>
  <c r="N22"/>
  <c r="L22"/>
  <c r="L23" l="1"/>
  <c r="Q23"/>
  <c r="V23"/>
  <c r="J41"/>
  <c r="I41" s="1"/>
  <c r="O31"/>
  <c r="T31"/>
  <c r="Y31"/>
  <c r="O30"/>
  <c r="T30"/>
  <c r="Y30"/>
  <c r="I22"/>
  <c r="G22"/>
  <c r="V21"/>
  <c r="Q21"/>
  <c r="L21"/>
  <c r="G21"/>
  <c r="V6"/>
  <c r="V5"/>
  <c r="E134" i="6"/>
  <c r="C134"/>
  <c r="E133"/>
  <c r="C133"/>
  <c r="E132"/>
  <c r="C132"/>
  <c r="E131"/>
  <c r="C131"/>
  <c r="E130"/>
  <c r="C130"/>
  <c r="E129"/>
  <c r="C129"/>
  <c r="E128"/>
  <c r="C128"/>
  <c r="E127"/>
  <c r="C127"/>
  <c r="E126"/>
  <c r="C126"/>
  <c r="E125"/>
  <c r="C125"/>
  <c r="E124"/>
  <c r="C124"/>
  <c r="E123"/>
  <c r="C123"/>
  <c r="E122"/>
  <c r="E121"/>
  <c r="E120"/>
  <c r="E119"/>
  <c r="E118"/>
  <c r="E117"/>
  <c r="E116"/>
  <c r="E115"/>
  <c r="E114"/>
  <c r="E113"/>
  <c r="E112"/>
  <c r="C112"/>
  <c r="E111"/>
  <c r="C111"/>
  <c r="E110"/>
  <c r="C110"/>
  <c r="E109"/>
  <c r="C109"/>
  <c r="E108"/>
  <c r="C108"/>
  <c r="C107"/>
  <c r="C106"/>
  <c r="C105"/>
  <c r="C104"/>
  <c r="C103"/>
  <c r="C102"/>
  <c r="C101"/>
  <c r="C100"/>
  <c r="C99"/>
  <c r="C98"/>
  <c r="E97"/>
  <c r="C97"/>
  <c r="E96"/>
  <c r="C96"/>
  <c r="E95"/>
  <c r="C95"/>
  <c r="E94"/>
  <c r="C94"/>
  <c r="E93"/>
  <c r="C93"/>
  <c r="E92"/>
  <c r="C92"/>
  <c r="E91"/>
  <c r="C91"/>
  <c r="E90"/>
  <c r="C90"/>
  <c r="E89"/>
  <c r="C89"/>
  <c r="E88"/>
  <c r="C88"/>
  <c r="E87"/>
  <c r="C87"/>
  <c r="BF66"/>
  <c r="BE66"/>
  <c r="BD66"/>
  <c r="BC66"/>
  <c r="BB66"/>
  <c r="BA66"/>
  <c r="AZ66"/>
  <c r="AY66"/>
  <c r="AX66"/>
  <c r="AW66"/>
  <c r="AV66"/>
  <c r="AU66"/>
  <c r="AT66"/>
  <c r="AR66"/>
  <c r="AQ66"/>
  <c r="AP66"/>
  <c r="AO66"/>
  <c r="AN66"/>
  <c r="AM66"/>
  <c r="AL66"/>
  <c r="AK66"/>
  <c r="AJ66"/>
  <c r="AI66"/>
  <c r="AH66"/>
  <c r="AG66"/>
  <c r="AF66"/>
  <c r="AE66"/>
  <c r="AD66"/>
  <c r="AC66"/>
  <c r="AB66"/>
  <c r="AA66"/>
  <c r="Z66"/>
  <c r="Y66"/>
  <c r="I66"/>
  <c r="AO45"/>
  <c r="AN45"/>
  <c r="BD32"/>
  <c r="BC32"/>
  <c r="BB32"/>
  <c r="BA32"/>
  <c r="AZ32"/>
  <c r="AY32"/>
  <c r="AX32"/>
  <c r="AW32"/>
  <c r="AV32"/>
  <c r="AU32"/>
  <c r="AT32"/>
  <c r="AS32"/>
  <c r="AR32"/>
  <c r="AQ32"/>
  <c r="AP32"/>
  <c r="AO32"/>
  <c r="AN32"/>
  <c r="AM32"/>
  <c r="AL32"/>
  <c r="AK32"/>
  <c r="AJ32"/>
  <c r="AI32"/>
  <c r="AH32"/>
  <c r="AG32"/>
  <c r="AF32"/>
  <c r="AE32"/>
  <c r="AD32"/>
  <c r="AC32"/>
  <c r="AB32"/>
  <c r="BD27"/>
  <c r="BC27"/>
  <c r="BB27"/>
  <c r="BA27"/>
  <c r="AZ27"/>
  <c r="AY27"/>
  <c r="AX27"/>
  <c r="AW27"/>
  <c r="AV27"/>
  <c r="AU27"/>
  <c r="AT27"/>
  <c r="AS27"/>
  <c r="AR27"/>
  <c r="AQ27"/>
  <c r="AP27"/>
  <c r="AO27"/>
  <c r="AN27"/>
  <c r="AM27"/>
  <c r="AL27"/>
  <c r="AK27"/>
  <c r="AJ27"/>
  <c r="Y41" i="9" l="1"/>
  <c r="O41"/>
  <c r="G23"/>
  <c r="T41"/>
  <c r="AI27" i="6"/>
  <c r="BD25"/>
  <c r="BC25"/>
  <c r="BB25"/>
  <c r="BA25"/>
  <c r="AZ25"/>
  <c r="AY25"/>
  <c r="AX25"/>
  <c r="AW25"/>
  <c r="AV25"/>
  <c r="AU25"/>
  <c r="AT25"/>
  <c r="AS25"/>
  <c r="AR25"/>
  <c r="AQ25"/>
  <c r="AP25"/>
  <c r="AO25"/>
  <c r="AN25"/>
  <c r="AM25"/>
  <c r="AL25"/>
  <c r="AK25"/>
  <c r="AJ25"/>
  <c r="AI25"/>
  <c r="AH25"/>
  <c r="AG25"/>
  <c r="AF25"/>
  <c r="AE25"/>
  <c r="AD25"/>
  <c r="AC25"/>
  <c r="AB25"/>
  <c r="AA25"/>
  <c r="Z25"/>
  <c r="Y25"/>
  <c r="X25"/>
  <c r="W25"/>
  <c r="V25"/>
  <c r="U25"/>
  <c r="T25"/>
  <c r="S25"/>
  <c r="R25"/>
  <c r="Q25"/>
  <c r="P25"/>
  <c r="O25"/>
  <c r="N25"/>
  <c r="M25"/>
  <c r="L25"/>
  <c r="K25"/>
  <c r="J25"/>
  <c r="I25"/>
  <c r="BD22"/>
  <c r="BC22"/>
  <c r="BB22"/>
  <c r="BA22"/>
  <c r="AZ22"/>
  <c r="AY22"/>
  <c r="AX22"/>
  <c r="AW22"/>
  <c r="AV22"/>
  <c r="AU22"/>
  <c r="AT22"/>
  <c r="AS22"/>
  <c r="AR22"/>
  <c r="AQ22"/>
  <c r="AP22"/>
  <c r="AO22"/>
  <c r="AN22"/>
  <c r="AM22"/>
  <c r="AL22"/>
  <c r="AK22"/>
  <c r="AJ22"/>
  <c r="AI22" l="1"/>
  <c r="BD20"/>
  <c r="BC20"/>
  <c r="BB20"/>
  <c r="BA20"/>
  <c r="AZ20"/>
  <c r="AY20"/>
  <c r="AX20"/>
  <c r="AW20"/>
  <c r="AV20"/>
  <c r="AU20"/>
  <c r="AT20"/>
  <c r="AS20"/>
  <c r="AR20"/>
  <c r="AQ20"/>
  <c r="AP20"/>
  <c r="AO20"/>
  <c r="AN20"/>
  <c r="AM20"/>
  <c r="AL20"/>
  <c r="AK20"/>
  <c r="AJ20"/>
  <c r="AI20"/>
  <c r="AH20"/>
  <c r="AG20"/>
  <c r="AF20"/>
  <c r="AE20"/>
  <c r="AD20"/>
  <c r="AC20"/>
  <c r="AB20"/>
  <c r="AA20"/>
  <c r="Z20"/>
  <c r="Y20"/>
  <c r="X20"/>
  <c r="W20"/>
  <c r="V20"/>
  <c r="U20"/>
  <c r="T20"/>
  <c r="S20"/>
  <c r="R20"/>
  <c r="Q20"/>
  <c r="P20"/>
  <c r="O20"/>
  <c r="N20"/>
  <c r="M20"/>
  <c r="L20"/>
  <c r="K20"/>
  <c r="J20"/>
  <c r="I20"/>
  <c r="BD15"/>
  <c r="BC15"/>
  <c r="BB15"/>
  <c r="BA15"/>
  <c r="AZ15"/>
  <c r="AY15"/>
  <c r="AX15"/>
  <c r="AW15"/>
  <c r="AV15"/>
  <c r="AU15"/>
  <c r="AT15"/>
  <c r="AS15"/>
  <c r="AR15"/>
  <c r="AQ15"/>
  <c r="AP15"/>
  <c r="AO15"/>
  <c r="AN15"/>
  <c r="AM15"/>
  <c r="AL15"/>
  <c r="AK15"/>
  <c r="AJ15"/>
  <c r="AI15" l="1"/>
</calcChain>
</file>

<file path=xl/comments1.xml><?xml version="1.0" encoding="utf-8"?>
<comments xmlns="http://schemas.openxmlformats.org/spreadsheetml/2006/main">
  <authors>
    <author>vchiang</author>
    <author xml:space="preserve"> </author>
  </authors>
  <commentList>
    <comment ref="B14" authorId="0">
      <text>
        <r>
          <rPr>
            <b/>
            <sz val="8"/>
            <color indexed="81"/>
            <rFont val="Tahoma"/>
            <family val="2"/>
          </rPr>
          <t>vchiang:</t>
        </r>
        <r>
          <rPr>
            <sz val="8"/>
            <color indexed="81"/>
            <rFont val="Tahoma"/>
            <family val="2"/>
          </rPr>
          <t xml:space="preserve">
</t>
        </r>
        <r>
          <rPr>
            <sz val="14"/>
            <color indexed="81"/>
            <rFont val="Tahoma"/>
            <family val="2"/>
          </rPr>
          <t>SFE = Shanghai Future Exchange</t>
        </r>
      </text>
    </comment>
    <comment ref="B15" authorId="0">
      <text>
        <r>
          <rPr>
            <b/>
            <sz val="8"/>
            <color indexed="81"/>
            <rFont val="Tahoma"/>
            <family val="2"/>
          </rPr>
          <t>vchiang:</t>
        </r>
        <r>
          <rPr>
            <sz val="8"/>
            <color indexed="81"/>
            <rFont val="Tahoma"/>
            <family val="2"/>
          </rPr>
          <t xml:space="preserve">
</t>
        </r>
        <r>
          <rPr>
            <sz val="14"/>
            <color indexed="81"/>
            <rFont val="Tahoma"/>
            <family val="2"/>
          </rPr>
          <t>SFE = Shanghai Future Exchange</t>
        </r>
      </text>
    </comment>
    <comment ref="B16" authorId="0">
      <text>
        <r>
          <rPr>
            <b/>
            <sz val="8"/>
            <color indexed="81"/>
            <rFont val="Tahoma"/>
            <family val="2"/>
          </rPr>
          <t>vchiang:</t>
        </r>
        <r>
          <rPr>
            <sz val="8"/>
            <color indexed="81"/>
            <rFont val="Tahoma"/>
            <family val="2"/>
          </rPr>
          <t xml:space="preserve">
</t>
        </r>
        <r>
          <rPr>
            <sz val="14"/>
            <color indexed="81"/>
            <rFont val="Tahoma"/>
            <family val="2"/>
          </rPr>
          <t>LME = London Metal Exchange</t>
        </r>
      </text>
    </comment>
    <comment ref="B17" authorId="0">
      <text>
        <r>
          <rPr>
            <b/>
            <sz val="8"/>
            <color indexed="81"/>
            <rFont val="Tahoma"/>
            <family val="2"/>
          </rPr>
          <t>vchiang:</t>
        </r>
        <r>
          <rPr>
            <sz val="8"/>
            <color indexed="81"/>
            <rFont val="Tahoma"/>
            <family val="2"/>
          </rPr>
          <t xml:space="preserve">
</t>
        </r>
        <r>
          <rPr>
            <sz val="14"/>
            <color indexed="81"/>
            <rFont val="Tahoma"/>
            <family val="2"/>
          </rPr>
          <t xml:space="preserve">Shanghai Nonferrous Metals </t>
        </r>
        <r>
          <rPr>
            <sz val="14"/>
            <color indexed="81"/>
            <rFont val="NSimSun"/>
            <family val="3"/>
            <charset val="134"/>
          </rPr>
          <t>上海有色网</t>
        </r>
      </text>
    </comment>
    <comment ref="B18" authorId="0">
      <text>
        <r>
          <rPr>
            <b/>
            <sz val="8"/>
            <color indexed="81"/>
            <rFont val="Tahoma"/>
            <family val="2"/>
          </rPr>
          <t>vchiang:</t>
        </r>
        <r>
          <rPr>
            <sz val="8"/>
            <color indexed="81"/>
            <rFont val="Tahoma"/>
            <family val="2"/>
          </rPr>
          <t xml:space="preserve">
</t>
        </r>
        <r>
          <rPr>
            <sz val="14"/>
            <color indexed="81"/>
            <rFont val="Tahoma"/>
            <family val="2"/>
          </rPr>
          <t>LME = London Metal Exchange</t>
        </r>
      </text>
    </comment>
    <comment ref="D19" authorId="0">
      <text>
        <r>
          <rPr>
            <b/>
            <sz val="8"/>
            <color indexed="81"/>
            <rFont val="Tahoma"/>
            <family val="2"/>
          </rPr>
          <t>vchiang:</t>
        </r>
        <r>
          <rPr>
            <sz val="8"/>
            <color indexed="81"/>
            <rFont val="Tahoma"/>
            <family val="2"/>
          </rPr>
          <t xml:space="preserve">
</t>
        </r>
        <r>
          <rPr>
            <sz val="14"/>
            <color indexed="81"/>
            <rFont val="Tahoma"/>
            <family val="2"/>
          </rPr>
          <t>Click "</t>
        </r>
        <r>
          <rPr>
            <sz val="14"/>
            <color indexed="81"/>
            <rFont val="NSimSun"/>
            <family val="3"/>
            <charset val="134"/>
          </rPr>
          <t>更多</t>
        </r>
        <r>
          <rPr>
            <sz val="14"/>
            <color indexed="81"/>
            <rFont val="Tahoma"/>
            <family val="2"/>
          </rPr>
          <t xml:space="preserve"> "
Check "</t>
        </r>
        <r>
          <rPr>
            <sz val="14"/>
            <color indexed="81"/>
            <rFont val="NSimSun"/>
            <family val="3"/>
            <charset val="134"/>
          </rPr>
          <t>全国主要地区铸造生铁价格一周汇总</t>
        </r>
        <r>
          <rPr>
            <sz val="14"/>
            <color indexed="81"/>
            <rFont val="Tahoma"/>
            <family val="2"/>
          </rPr>
          <t xml:space="preserve"> " </t>
        </r>
      </text>
    </comment>
    <comment ref="B21" authorId="0">
      <text>
        <r>
          <rPr>
            <b/>
            <sz val="8"/>
            <color indexed="81"/>
            <rFont val="Tahoma"/>
            <family val="2"/>
          </rPr>
          <t>vchiang:</t>
        </r>
        <r>
          <rPr>
            <sz val="8"/>
            <color indexed="81"/>
            <rFont val="Tahoma"/>
            <family val="2"/>
          </rPr>
          <t xml:space="preserve">
</t>
        </r>
        <r>
          <rPr>
            <sz val="14"/>
            <color indexed="81"/>
            <rFont val="Tahoma"/>
            <family val="2"/>
          </rPr>
          <t>SFE = Shanghai Future Exchange</t>
        </r>
      </text>
    </comment>
    <comment ref="B22" authorId="0">
      <text>
        <r>
          <rPr>
            <b/>
            <sz val="8"/>
            <color indexed="81"/>
            <rFont val="Tahoma"/>
            <family val="2"/>
          </rPr>
          <t>vchiang:</t>
        </r>
        <r>
          <rPr>
            <sz val="8"/>
            <color indexed="81"/>
            <rFont val="Tahoma"/>
            <family val="2"/>
          </rPr>
          <t xml:space="preserve">
</t>
        </r>
        <r>
          <rPr>
            <sz val="14"/>
            <color indexed="81"/>
            <rFont val="Tahoma"/>
            <family val="2"/>
          </rPr>
          <t>SFE = Shanghai Future Exchange</t>
        </r>
      </text>
    </comment>
    <comment ref="B23" authorId="0">
      <text>
        <r>
          <rPr>
            <b/>
            <sz val="8"/>
            <color indexed="81"/>
            <rFont val="Tahoma"/>
            <family val="2"/>
          </rPr>
          <t>vchiang:</t>
        </r>
        <r>
          <rPr>
            <sz val="8"/>
            <color indexed="81"/>
            <rFont val="Tahoma"/>
            <family val="2"/>
          </rPr>
          <t xml:space="preserve">
</t>
        </r>
        <r>
          <rPr>
            <sz val="14"/>
            <color indexed="81"/>
            <rFont val="Tahoma"/>
            <family val="2"/>
          </rPr>
          <t>LME = London Metal Exchange</t>
        </r>
      </text>
    </comment>
    <comment ref="B24" authorId="0">
      <text>
        <r>
          <rPr>
            <b/>
            <sz val="8"/>
            <color indexed="81"/>
            <rFont val="Tahoma"/>
            <family val="2"/>
          </rPr>
          <t>vchiang:</t>
        </r>
        <r>
          <rPr>
            <sz val="8"/>
            <color indexed="81"/>
            <rFont val="Tahoma"/>
            <family val="2"/>
          </rPr>
          <t xml:space="preserve">
</t>
        </r>
        <r>
          <rPr>
            <sz val="14"/>
            <color indexed="81"/>
            <rFont val="Tahoma"/>
            <family val="2"/>
          </rPr>
          <t xml:space="preserve">BuXiuGangTianDi </t>
        </r>
        <r>
          <rPr>
            <sz val="14"/>
            <color indexed="81"/>
            <rFont val="NSimSun"/>
            <family val="3"/>
            <charset val="134"/>
          </rPr>
          <t>不锈钢天地</t>
        </r>
        <r>
          <rPr>
            <sz val="14"/>
            <color indexed="81"/>
            <rFont val="Tahoma"/>
            <family val="2"/>
          </rPr>
          <t xml:space="preserve"> - China website</t>
        </r>
      </text>
    </comment>
    <comment ref="D24" authorId="0">
      <text>
        <r>
          <rPr>
            <b/>
            <sz val="8"/>
            <color indexed="81"/>
            <rFont val="Tahoma"/>
            <family val="2"/>
          </rPr>
          <t>vchiang:</t>
        </r>
        <r>
          <rPr>
            <sz val="8"/>
            <color indexed="81"/>
            <rFont val="Tahoma"/>
            <family val="2"/>
          </rPr>
          <t xml:space="preserve">
</t>
        </r>
        <r>
          <rPr>
            <sz val="14"/>
            <color indexed="81"/>
            <rFont val="Tahoma"/>
            <family val="2"/>
          </rPr>
          <t>Login: vchiang
Password: sebasia</t>
        </r>
      </text>
    </comment>
    <comment ref="B25" authorId="0">
      <text>
        <r>
          <rPr>
            <b/>
            <sz val="8"/>
            <color indexed="81"/>
            <rFont val="Tahoma"/>
            <family val="2"/>
          </rPr>
          <t>vchiang:</t>
        </r>
        <r>
          <rPr>
            <sz val="8"/>
            <color indexed="81"/>
            <rFont val="Tahoma"/>
            <family val="2"/>
          </rPr>
          <t xml:space="preserve">
</t>
        </r>
        <r>
          <rPr>
            <sz val="14"/>
            <color indexed="81"/>
            <rFont val="Tahoma"/>
            <family val="2"/>
          </rPr>
          <t xml:space="preserve">BuXiuGangTianDi </t>
        </r>
        <r>
          <rPr>
            <sz val="14"/>
            <color indexed="81"/>
            <rFont val="NSimSun"/>
            <family val="3"/>
            <charset val="134"/>
          </rPr>
          <t>不锈钢天地</t>
        </r>
        <r>
          <rPr>
            <sz val="14"/>
            <color indexed="81"/>
            <rFont val="Tahoma"/>
            <family val="2"/>
          </rPr>
          <t xml:space="preserve"> - China website</t>
        </r>
      </text>
    </comment>
    <comment ref="B26" authorId="0">
      <text>
        <r>
          <rPr>
            <b/>
            <sz val="8"/>
            <color indexed="81"/>
            <rFont val="Tahoma"/>
            <family val="2"/>
          </rPr>
          <t>vchiang:</t>
        </r>
        <r>
          <rPr>
            <sz val="8"/>
            <color indexed="81"/>
            <rFont val="Tahoma"/>
            <family val="2"/>
          </rPr>
          <t xml:space="preserve">
</t>
        </r>
        <r>
          <rPr>
            <sz val="14"/>
            <color indexed="81"/>
            <rFont val="Tahoma"/>
            <family val="2"/>
          </rPr>
          <t xml:space="preserve">BuXiuGangTianDi </t>
        </r>
        <r>
          <rPr>
            <sz val="14"/>
            <color indexed="81"/>
            <rFont val="NSimSun"/>
            <family val="3"/>
            <charset val="134"/>
          </rPr>
          <t>不锈钢天地</t>
        </r>
        <r>
          <rPr>
            <sz val="14"/>
            <color indexed="81"/>
            <rFont val="Tahoma"/>
            <family val="2"/>
          </rPr>
          <t xml:space="preserve"> - China website</t>
        </r>
      </text>
    </comment>
    <comment ref="C26" authorId="0">
      <text>
        <r>
          <rPr>
            <b/>
            <sz val="8"/>
            <color indexed="81"/>
            <rFont val="Tahoma"/>
            <family val="2"/>
          </rPr>
          <t>vchiang:</t>
        </r>
        <r>
          <rPr>
            <sz val="8"/>
            <color indexed="81"/>
            <rFont val="Tahoma"/>
            <family val="2"/>
          </rPr>
          <t xml:space="preserve">
</t>
        </r>
        <r>
          <rPr>
            <sz val="12"/>
            <color indexed="81"/>
            <rFont val="Tahoma"/>
            <family val="2"/>
          </rPr>
          <t>use BXGTD data from Mar 09, previous data collect from Intracom http://lil93nt/en/jobs/purchasing/common_data/Material_rates/Mat_Followup_StainlessSteel_EN.xlsx</t>
        </r>
      </text>
    </comment>
    <comment ref="D26" authorId="0">
      <text>
        <r>
          <rPr>
            <b/>
            <sz val="8"/>
            <color indexed="81"/>
            <rFont val="Tahoma"/>
            <family val="2"/>
          </rPr>
          <t>vchiang:</t>
        </r>
        <r>
          <rPr>
            <sz val="8"/>
            <color indexed="81"/>
            <rFont val="Tahoma"/>
            <family val="2"/>
          </rPr>
          <t xml:space="preserve">
</t>
        </r>
        <r>
          <rPr>
            <sz val="14"/>
            <color indexed="81"/>
            <rFont val="Tahoma"/>
            <family val="2"/>
          </rPr>
          <t>Login: vchiang
Password: sebasia</t>
        </r>
      </text>
    </comment>
    <comment ref="AI26" authorId="0">
      <text>
        <r>
          <rPr>
            <b/>
            <sz val="8"/>
            <color indexed="81"/>
            <rFont val="Tahoma"/>
            <family val="2"/>
          </rPr>
          <t>vchiang:</t>
        </r>
        <r>
          <rPr>
            <sz val="8"/>
            <color indexed="81"/>
            <rFont val="Tahoma"/>
            <family val="2"/>
          </rPr>
          <t xml:space="preserve">
use data from BXGTD from Mar 09, previous data from intracom</t>
        </r>
      </text>
    </comment>
    <comment ref="B27" authorId="0">
      <text>
        <r>
          <rPr>
            <b/>
            <sz val="8"/>
            <color indexed="81"/>
            <rFont val="Tahoma"/>
            <family val="2"/>
          </rPr>
          <t>vchiang:</t>
        </r>
        <r>
          <rPr>
            <sz val="8"/>
            <color indexed="81"/>
            <rFont val="Tahoma"/>
            <family val="2"/>
          </rPr>
          <t xml:space="preserve">
</t>
        </r>
        <r>
          <rPr>
            <sz val="14"/>
            <color indexed="81"/>
            <rFont val="Tahoma"/>
            <family val="2"/>
          </rPr>
          <t xml:space="preserve">BuXiuGangTianDi </t>
        </r>
        <r>
          <rPr>
            <sz val="14"/>
            <color indexed="81"/>
            <rFont val="NSimSun"/>
            <family val="3"/>
            <charset val="134"/>
          </rPr>
          <t>不锈钢天地</t>
        </r>
        <r>
          <rPr>
            <sz val="14"/>
            <color indexed="81"/>
            <rFont val="Tahoma"/>
            <family val="2"/>
          </rPr>
          <t xml:space="preserve"> - China website</t>
        </r>
      </text>
    </comment>
    <comment ref="B28" authorId="1">
      <text>
        <r>
          <rPr>
            <b/>
            <sz val="8"/>
            <color indexed="81"/>
            <rFont val="Tahoma"/>
            <family val="2"/>
          </rPr>
          <t xml:space="preserve">vchiang:
</t>
        </r>
        <r>
          <rPr>
            <sz val="14"/>
            <color indexed="81"/>
            <rFont val="Tahoma"/>
            <family val="2"/>
          </rPr>
          <t>AMSE = Arcelor Mittal Stainless Europe</t>
        </r>
      </text>
    </comment>
    <comment ref="B29" authorId="0">
      <text>
        <r>
          <rPr>
            <b/>
            <sz val="8"/>
            <color indexed="81"/>
            <rFont val="Tahoma"/>
            <family val="2"/>
          </rPr>
          <t>vchiang:</t>
        </r>
        <r>
          <rPr>
            <sz val="8"/>
            <color indexed="81"/>
            <rFont val="Tahoma"/>
            <family val="2"/>
          </rPr>
          <t xml:space="preserve">
</t>
        </r>
        <r>
          <rPr>
            <sz val="14"/>
            <color indexed="81"/>
            <rFont val="Tahoma"/>
            <family val="2"/>
          </rPr>
          <t xml:space="preserve">BuXiuGangTianDi </t>
        </r>
        <r>
          <rPr>
            <sz val="14"/>
            <color indexed="81"/>
            <rFont val="NSimSun"/>
            <family val="3"/>
            <charset val="134"/>
          </rPr>
          <t>不锈钢天地</t>
        </r>
        <r>
          <rPr>
            <sz val="14"/>
            <color indexed="81"/>
            <rFont val="Tahoma"/>
            <family val="2"/>
          </rPr>
          <t xml:space="preserve"> - China website</t>
        </r>
      </text>
    </comment>
    <comment ref="D29" authorId="0">
      <text>
        <r>
          <rPr>
            <b/>
            <sz val="8"/>
            <color indexed="81"/>
            <rFont val="Tahoma"/>
            <family val="2"/>
          </rPr>
          <t>vchiang:</t>
        </r>
        <r>
          <rPr>
            <sz val="8"/>
            <color indexed="81"/>
            <rFont val="Tahoma"/>
            <family val="2"/>
          </rPr>
          <t xml:space="preserve">
</t>
        </r>
        <r>
          <rPr>
            <sz val="14"/>
            <color indexed="81"/>
            <rFont val="Tahoma"/>
            <family val="2"/>
          </rPr>
          <t>Login: vchiang
Password: sebasia</t>
        </r>
      </text>
    </comment>
    <comment ref="B30" authorId="0">
      <text>
        <r>
          <rPr>
            <b/>
            <sz val="8"/>
            <color indexed="81"/>
            <rFont val="Tahoma"/>
            <family val="2"/>
          </rPr>
          <t>vchiang:</t>
        </r>
        <r>
          <rPr>
            <sz val="8"/>
            <color indexed="81"/>
            <rFont val="Tahoma"/>
            <family val="2"/>
          </rPr>
          <t xml:space="preserve">
</t>
        </r>
        <r>
          <rPr>
            <sz val="14"/>
            <color indexed="81"/>
            <rFont val="Tahoma"/>
            <family val="2"/>
          </rPr>
          <t xml:space="preserve">BuXiuGangTianDi </t>
        </r>
        <r>
          <rPr>
            <sz val="14"/>
            <color indexed="81"/>
            <rFont val="NSimSun"/>
            <family val="3"/>
            <charset val="134"/>
          </rPr>
          <t>不锈钢天地</t>
        </r>
        <r>
          <rPr>
            <sz val="14"/>
            <color indexed="81"/>
            <rFont val="Tahoma"/>
            <family val="2"/>
          </rPr>
          <t xml:space="preserve"> - China website</t>
        </r>
      </text>
    </comment>
    <comment ref="D30" authorId="0">
      <text>
        <r>
          <rPr>
            <b/>
            <sz val="8"/>
            <color indexed="81"/>
            <rFont val="Tahoma"/>
            <family val="2"/>
          </rPr>
          <t>vchiang:</t>
        </r>
        <r>
          <rPr>
            <sz val="8"/>
            <color indexed="81"/>
            <rFont val="Tahoma"/>
            <family val="2"/>
          </rPr>
          <t xml:space="preserve">
</t>
        </r>
        <r>
          <rPr>
            <sz val="14"/>
            <color indexed="81"/>
            <rFont val="Tahoma"/>
            <family val="2"/>
          </rPr>
          <t>Login: vchiang
Password: sebasia</t>
        </r>
      </text>
    </comment>
    <comment ref="B31" authorId="0">
      <text>
        <r>
          <rPr>
            <b/>
            <sz val="8"/>
            <color indexed="81"/>
            <rFont val="Tahoma"/>
            <family val="2"/>
          </rPr>
          <t>vchiang:</t>
        </r>
        <r>
          <rPr>
            <sz val="8"/>
            <color indexed="81"/>
            <rFont val="Tahoma"/>
            <family val="2"/>
          </rPr>
          <t xml:space="preserve">
</t>
        </r>
        <r>
          <rPr>
            <sz val="14"/>
            <color indexed="81"/>
            <rFont val="Tahoma"/>
            <family val="2"/>
          </rPr>
          <t xml:space="preserve">BuXiuGangTianDi </t>
        </r>
        <r>
          <rPr>
            <sz val="14"/>
            <color indexed="81"/>
            <rFont val="NSimSun"/>
            <family val="3"/>
            <charset val="134"/>
          </rPr>
          <t>不锈钢天地</t>
        </r>
        <r>
          <rPr>
            <sz val="14"/>
            <color indexed="81"/>
            <rFont val="Tahoma"/>
            <family val="2"/>
          </rPr>
          <t xml:space="preserve"> - China website</t>
        </r>
      </text>
    </comment>
    <comment ref="C31" authorId="0">
      <text>
        <r>
          <rPr>
            <b/>
            <sz val="8"/>
            <color indexed="81"/>
            <rFont val="Tahoma"/>
            <family val="2"/>
          </rPr>
          <t>vchiang:</t>
        </r>
        <r>
          <rPr>
            <sz val="8"/>
            <color indexed="81"/>
            <rFont val="Tahoma"/>
            <family val="2"/>
          </rPr>
          <t xml:space="preserve">
</t>
        </r>
        <r>
          <rPr>
            <sz val="12"/>
            <color indexed="81"/>
            <rFont val="Tahoma"/>
            <family val="2"/>
          </rPr>
          <t>use BXGTD data from Mar 09, previous data collect from Intracom http://lil93nt/en/jobs/purchasing/common_data/Material_rates/Mat_Followup_StainlessSteel_EN.xlsx</t>
        </r>
      </text>
    </comment>
    <comment ref="D31" authorId="0">
      <text>
        <r>
          <rPr>
            <b/>
            <sz val="8"/>
            <color indexed="81"/>
            <rFont val="Tahoma"/>
            <family val="2"/>
          </rPr>
          <t>vchiang:</t>
        </r>
        <r>
          <rPr>
            <sz val="8"/>
            <color indexed="81"/>
            <rFont val="Tahoma"/>
            <family val="2"/>
          </rPr>
          <t xml:space="preserve">
</t>
        </r>
        <r>
          <rPr>
            <sz val="14"/>
            <color indexed="81"/>
            <rFont val="Tahoma"/>
            <family val="2"/>
          </rPr>
          <t>Login: vchiang
Password: sebasia</t>
        </r>
      </text>
    </comment>
    <comment ref="AI31" authorId="0">
      <text>
        <r>
          <rPr>
            <b/>
            <sz val="8"/>
            <color indexed="81"/>
            <rFont val="Tahoma"/>
            <family val="2"/>
          </rPr>
          <t>vchiang:</t>
        </r>
        <r>
          <rPr>
            <sz val="8"/>
            <color indexed="81"/>
            <rFont val="Tahoma"/>
            <family val="2"/>
          </rPr>
          <t xml:space="preserve">
use data from BXGTD from Mar 09, previous data from intracom</t>
        </r>
      </text>
    </comment>
    <comment ref="B32" authorId="0">
      <text>
        <r>
          <rPr>
            <b/>
            <sz val="8"/>
            <color indexed="81"/>
            <rFont val="Tahoma"/>
            <family val="2"/>
          </rPr>
          <t>vchiang:</t>
        </r>
        <r>
          <rPr>
            <sz val="8"/>
            <color indexed="81"/>
            <rFont val="Tahoma"/>
            <family val="2"/>
          </rPr>
          <t xml:space="preserve">
</t>
        </r>
        <r>
          <rPr>
            <sz val="14"/>
            <color indexed="81"/>
            <rFont val="Tahoma"/>
            <family val="2"/>
          </rPr>
          <t xml:space="preserve">BuXiuGangTianDi </t>
        </r>
        <r>
          <rPr>
            <sz val="14"/>
            <color indexed="81"/>
            <rFont val="NSimSun"/>
            <family val="3"/>
            <charset val="134"/>
          </rPr>
          <t>不锈钢天地</t>
        </r>
        <r>
          <rPr>
            <sz val="14"/>
            <color indexed="81"/>
            <rFont val="Tahoma"/>
            <family val="2"/>
          </rPr>
          <t xml:space="preserve"> - China website</t>
        </r>
      </text>
    </comment>
    <comment ref="B33" authorId="1">
      <text>
        <r>
          <rPr>
            <b/>
            <sz val="8"/>
            <color indexed="81"/>
            <rFont val="Tahoma"/>
            <family val="2"/>
          </rPr>
          <t xml:space="preserve">vchiang:
</t>
        </r>
        <r>
          <rPr>
            <sz val="14"/>
            <color indexed="81"/>
            <rFont val="Tahoma"/>
            <family val="2"/>
          </rPr>
          <t>AMSE = Arcelor Mittal Stainless Europe</t>
        </r>
      </text>
    </comment>
    <comment ref="B34" authorId="0">
      <text>
        <r>
          <rPr>
            <b/>
            <sz val="8"/>
            <color indexed="81"/>
            <rFont val="Tahoma"/>
            <family val="2"/>
          </rPr>
          <t>vchiang:</t>
        </r>
        <r>
          <rPr>
            <sz val="8"/>
            <color indexed="81"/>
            <rFont val="Tahoma"/>
            <family val="2"/>
          </rPr>
          <t xml:space="preserve">
</t>
        </r>
        <r>
          <rPr>
            <sz val="14"/>
            <color indexed="81"/>
            <rFont val="Tahoma"/>
            <family val="2"/>
          </rPr>
          <t xml:space="preserve">BuXiuGangTianDi </t>
        </r>
        <r>
          <rPr>
            <sz val="14"/>
            <color indexed="81"/>
            <rFont val="NSimSun"/>
            <family val="3"/>
            <charset val="134"/>
          </rPr>
          <t>不锈钢天地</t>
        </r>
        <r>
          <rPr>
            <sz val="14"/>
            <color indexed="81"/>
            <rFont val="Tahoma"/>
            <family val="2"/>
          </rPr>
          <t xml:space="preserve"> - China website</t>
        </r>
      </text>
    </comment>
    <comment ref="D34" authorId="0">
      <text>
        <r>
          <rPr>
            <b/>
            <sz val="8"/>
            <color indexed="81"/>
            <rFont val="Tahoma"/>
            <family val="2"/>
          </rPr>
          <t>vchiang:</t>
        </r>
        <r>
          <rPr>
            <sz val="8"/>
            <color indexed="81"/>
            <rFont val="Tahoma"/>
            <family val="2"/>
          </rPr>
          <t xml:space="preserve">
</t>
        </r>
        <r>
          <rPr>
            <sz val="14"/>
            <color indexed="81"/>
            <rFont val="Tahoma"/>
            <family val="2"/>
          </rPr>
          <t>Login: vchiang
Password: sebasia</t>
        </r>
      </text>
    </comment>
    <comment ref="H34" authorId="0">
      <text>
        <r>
          <rPr>
            <b/>
            <sz val="8"/>
            <color indexed="81"/>
            <rFont val="Tahoma"/>
            <family val="2"/>
          </rPr>
          <t>vchiang:</t>
        </r>
        <r>
          <rPr>
            <sz val="8"/>
            <color indexed="81"/>
            <rFont val="Tahoma"/>
            <family val="2"/>
          </rPr>
          <t xml:space="preserve">
</t>
        </r>
        <r>
          <rPr>
            <sz val="14"/>
            <color indexed="81"/>
            <rFont val="NSimSun"/>
            <family val="3"/>
            <charset val="134"/>
          </rPr>
          <t>国内部分地区不锈钢废料</t>
        </r>
        <r>
          <rPr>
            <sz val="14"/>
            <color indexed="81"/>
            <rFont val="Tahoma"/>
            <family val="2"/>
          </rPr>
          <t>304</t>
        </r>
        <r>
          <rPr>
            <sz val="14"/>
            <color indexed="81"/>
            <rFont val="NSimSun"/>
            <family val="3"/>
            <charset val="134"/>
          </rPr>
          <t>回炉料价格</t>
        </r>
      </text>
    </comment>
    <comment ref="B35" authorId="0">
      <text>
        <r>
          <rPr>
            <b/>
            <sz val="8"/>
            <color indexed="81"/>
            <rFont val="Tahoma"/>
            <family val="2"/>
          </rPr>
          <t>vchiang:</t>
        </r>
        <r>
          <rPr>
            <sz val="8"/>
            <color indexed="81"/>
            <rFont val="Tahoma"/>
            <family val="2"/>
          </rPr>
          <t xml:space="preserve">
</t>
        </r>
        <r>
          <rPr>
            <sz val="14"/>
            <color indexed="81"/>
            <rFont val="Tahoma"/>
            <family val="2"/>
          </rPr>
          <t xml:space="preserve">BuXiuGangTianDi </t>
        </r>
        <r>
          <rPr>
            <sz val="14"/>
            <color indexed="81"/>
            <rFont val="NSimSun"/>
            <family val="3"/>
            <charset val="134"/>
          </rPr>
          <t>不锈钢天地</t>
        </r>
        <r>
          <rPr>
            <sz val="14"/>
            <color indexed="81"/>
            <rFont val="Tahoma"/>
            <family val="2"/>
          </rPr>
          <t xml:space="preserve"> - China website</t>
        </r>
      </text>
    </comment>
    <comment ref="H35" authorId="0">
      <text>
        <r>
          <rPr>
            <b/>
            <sz val="8"/>
            <color indexed="81"/>
            <rFont val="Tahoma"/>
            <family val="2"/>
          </rPr>
          <t>vchiang:</t>
        </r>
        <r>
          <rPr>
            <sz val="8"/>
            <color indexed="81"/>
            <rFont val="Tahoma"/>
            <family val="2"/>
          </rPr>
          <t xml:space="preserve">
</t>
        </r>
        <r>
          <rPr>
            <sz val="14"/>
            <color indexed="81"/>
            <rFont val="NSimSun"/>
            <family val="3"/>
            <charset val="134"/>
          </rPr>
          <t>模具钢</t>
        </r>
        <r>
          <rPr>
            <sz val="14"/>
            <color indexed="81"/>
            <rFont val="Tahoma"/>
            <family val="2"/>
          </rPr>
          <t xml:space="preserve"> </t>
        </r>
        <r>
          <rPr>
            <sz val="14"/>
            <color indexed="81"/>
            <rFont val="NSimSun"/>
            <family val="3"/>
            <charset val="134"/>
          </rPr>
          <t>材质</t>
        </r>
        <r>
          <rPr>
            <sz val="14"/>
            <color indexed="81"/>
            <rFont val="Tahoma"/>
            <family val="2"/>
          </rPr>
          <t xml:space="preserve">: 205-410*1000*L ; </t>
        </r>
        <r>
          <rPr>
            <sz val="14"/>
            <color indexed="81"/>
            <rFont val="NSimSun"/>
            <family val="3"/>
            <charset val="134"/>
          </rPr>
          <t>规格</t>
        </r>
        <r>
          <rPr>
            <sz val="14"/>
            <color indexed="81"/>
            <rFont val="Tahoma"/>
            <family val="2"/>
          </rPr>
          <t xml:space="preserve">(mm):1.2316 ; </t>
        </r>
        <r>
          <rPr>
            <sz val="14"/>
            <color indexed="81"/>
            <rFont val="NSimSun"/>
            <family val="3"/>
            <charset val="134"/>
          </rPr>
          <t>钢厂</t>
        </r>
        <r>
          <rPr>
            <sz val="14"/>
            <color indexed="81"/>
            <rFont val="Tahoma"/>
            <family val="2"/>
          </rPr>
          <t>\</t>
        </r>
        <r>
          <rPr>
            <sz val="14"/>
            <color indexed="81"/>
            <rFont val="NSimSun"/>
            <family val="3"/>
            <charset val="134"/>
          </rPr>
          <t>产地</t>
        </r>
        <r>
          <rPr>
            <sz val="14"/>
            <color indexed="81"/>
            <rFont val="Tahoma"/>
            <family val="2"/>
          </rPr>
          <t xml:space="preserve">: </t>
        </r>
        <r>
          <rPr>
            <sz val="14"/>
            <color indexed="81"/>
            <rFont val="NSimSun"/>
            <family val="3"/>
            <charset val="134"/>
          </rPr>
          <t>德国</t>
        </r>
      </text>
    </comment>
    <comment ref="B36" authorId="0">
      <text>
        <r>
          <rPr>
            <b/>
            <sz val="8"/>
            <color indexed="81"/>
            <rFont val="Tahoma"/>
            <family val="2"/>
          </rPr>
          <t>vchiang:</t>
        </r>
        <r>
          <rPr>
            <sz val="8"/>
            <color indexed="81"/>
            <rFont val="Tahoma"/>
            <family val="2"/>
          </rPr>
          <t xml:space="preserve">
</t>
        </r>
        <r>
          <rPr>
            <sz val="14"/>
            <color indexed="81"/>
            <rFont val="Tahoma"/>
            <family val="2"/>
          </rPr>
          <t>NHH = Ngai Hing Hong Co. Ltd.</t>
        </r>
      </text>
    </comment>
    <comment ref="D36" authorId="0">
      <text>
        <r>
          <rPr>
            <b/>
            <sz val="8"/>
            <color indexed="81"/>
            <rFont val="Tahoma"/>
            <family val="2"/>
          </rPr>
          <t>vchiang:</t>
        </r>
        <r>
          <rPr>
            <sz val="8"/>
            <color indexed="81"/>
            <rFont val="Tahoma"/>
            <family val="2"/>
          </rPr>
          <t xml:space="preserve">
</t>
        </r>
        <r>
          <rPr>
            <sz val="14"/>
            <color indexed="81"/>
            <rFont val="Tahoma"/>
            <family val="2"/>
          </rPr>
          <t>Login: vchiang@hk.groupeseb.com
Password: vicki</t>
        </r>
      </text>
    </comment>
    <comment ref="B37" authorId="1">
      <text>
        <r>
          <rPr>
            <b/>
            <sz val="8"/>
            <color indexed="81"/>
            <rFont val="Tahoma"/>
            <family val="2"/>
          </rPr>
          <t xml:space="preserve">vchiang:
</t>
        </r>
        <r>
          <rPr>
            <sz val="14"/>
            <color indexed="81"/>
            <rFont val="Tahoma"/>
            <family val="2"/>
          </rPr>
          <t xml:space="preserve">ICIS provide Asia price trend, SEB Groupe get data from ICIS regularly
</t>
        </r>
        <r>
          <rPr>
            <sz val="8"/>
            <color indexed="81"/>
            <rFont val="Tahoma"/>
            <family val="2"/>
          </rPr>
          <t xml:space="preserve">
</t>
        </r>
      </text>
    </comment>
    <comment ref="B38" authorId="0">
      <text>
        <r>
          <rPr>
            <b/>
            <sz val="8"/>
            <color indexed="81"/>
            <rFont val="Tahoma"/>
            <family val="2"/>
          </rPr>
          <t>vchiang:</t>
        </r>
        <r>
          <rPr>
            <sz val="8"/>
            <color indexed="81"/>
            <rFont val="Tahoma"/>
            <family val="2"/>
          </rPr>
          <t xml:space="preserve">
</t>
        </r>
        <r>
          <rPr>
            <sz val="14"/>
            <color indexed="81"/>
            <rFont val="Tahoma"/>
            <family val="2"/>
          </rPr>
          <t>NHH = Ngai Hing Hong Co. Ltd.</t>
        </r>
      </text>
    </comment>
    <comment ref="D38" authorId="0">
      <text>
        <r>
          <rPr>
            <b/>
            <sz val="8"/>
            <color indexed="81"/>
            <rFont val="Tahoma"/>
            <family val="2"/>
          </rPr>
          <t>vchiang:</t>
        </r>
        <r>
          <rPr>
            <sz val="8"/>
            <color indexed="81"/>
            <rFont val="Tahoma"/>
            <family val="2"/>
          </rPr>
          <t xml:space="preserve">
</t>
        </r>
        <r>
          <rPr>
            <sz val="14"/>
            <color indexed="81"/>
            <rFont val="Tahoma"/>
            <family val="2"/>
          </rPr>
          <t>Login: vchiang@hk.groupeseb.com
Password: vicki</t>
        </r>
      </text>
    </comment>
    <comment ref="B39" authorId="1">
      <text>
        <r>
          <rPr>
            <b/>
            <sz val="8"/>
            <color indexed="81"/>
            <rFont val="Tahoma"/>
            <family val="2"/>
          </rPr>
          <t xml:space="preserve">vchiang:
</t>
        </r>
        <r>
          <rPr>
            <sz val="14"/>
            <color indexed="81"/>
            <rFont val="Tahoma"/>
            <family val="2"/>
          </rPr>
          <t xml:space="preserve">ICIS provide Asia price trend, SEB Groupe get data from ICIS regularly
</t>
        </r>
        <r>
          <rPr>
            <sz val="8"/>
            <color indexed="81"/>
            <rFont val="Tahoma"/>
            <family val="2"/>
          </rPr>
          <t xml:space="preserve">
</t>
        </r>
      </text>
    </comment>
    <comment ref="B40" authorId="1">
      <text>
        <r>
          <rPr>
            <b/>
            <sz val="8"/>
            <color indexed="81"/>
            <rFont val="Tahoma"/>
            <family val="2"/>
          </rPr>
          <t xml:space="preserve">vchiang:
</t>
        </r>
        <r>
          <rPr>
            <sz val="14"/>
            <color indexed="81"/>
            <rFont val="Tahoma"/>
            <family val="2"/>
          </rPr>
          <t xml:space="preserve">ICIS provide Asia price trend, SEB Groupe get data from ICIS regularly
</t>
        </r>
        <r>
          <rPr>
            <sz val="8"/>
            <color indexed="81"/>
            <rFont val="Tahoma"/>
            <family val="2"/>
          </rPr>
          <t xml:space="preserve">
</t>
        </r>
      </text>
    </comment>
    <comment ref="B41" authorId="1">
      <text>
        <r>
          <rPr>
            <b/>
            <sz val="8"/>
            <color indexed="81"/>
            <rFont val="Tahoma"/>
            <family val="2"/>
          </rPr>
          <t xml:space="preserve">vchiang:
</t>
        </r>
        <r>
          <rPr>
            <sz val="14"/>
            <color indexed="81"/>
            <rFont val="Tahoma"/>
            <family val="2"/>
          </rPr>
          <t xml:space="preserve">ICIS provide Asia price trend, SEB Groupe get data from ICIS regularly
</t>
        </r>
        <r>
          <rPr>
            <sz val="8"/>
            <color indexed="81"/>
            <rFont val="Tahoma"/>
            <family val="2"/>
          </rPr>
          <t xml:space="preserve">
</t>
        </r>
      </text>
    </comment>
    <comment ref="B42" authorId="0">
      <text>
        <r>
          <rPr>
            <b/>
            <sz val="8"/>
            <color indexed="81"/>
            <rFont val="Tahoma"/>
            <family val="2"/>
          </rPr>
          <t>vchiang:</t>
        </r>
        <r>
          <rPr>
            <sz val="8"/>
            <color indexed="81"/>
            <rFont val="Tahoma"/>
            <family val="2"/>
          </rPr>
          <t xml:space="preserve">
</t>
        </r>
        <r>
          <rPr>
            <sz val="14"/>
            <color indexed="81"/>
            <rFont val="Tahoma"/>
            <family val="2"/>
          </rPr>
          <t>NHH = Ngai Hing Hong Co. Ltd.</t>
        </r>
      </text>
    </comment>
    <comment ref="D42" authorId="0">
      <text>
        <r>
          <rPr>
            <b/>
            <sz val="8"/>
            <color indexed="81"/>
            <rFont val="Tahoma"/>
            <family val="2"/>
          </rPr>
          <t>vchiang:</t>
        </r>
        <r>
          <rPr>
            <sz val="8"/>
            <color indexed="81"/>
            <rFont val="Tahoma"/>
            <family val="2"/>
          </rPr>
          <t xml:space="preserve">
</t>
        </r>
        <r>
          <rPr>
            <sz val="14"/>
            <color indexed="81"/>
            <rFont val="Tahoma"/>
            <family val="2"/>
          </rPr>
          <t>Login: vchiang@hk.groupeseb.com
Password: vicki</t>
        </r>
      </text>
    </comment>
    <comment ref="B43" authorId="0">
      <text>
        <r>
          <rPr>
            <b/>
            <sz val="8"/>
            <color indexed="81"/>
            <rFont val="Tahoma"/>
            <family val="2"/>
          </rPr>
          <t>vchiang:</t>
        </r>
        <r>
          <rPr>
            <sz val="8"/>
            <color indexed="81"/>
            <rFont val="Tahoma"/>
            <family val="2"/>
          </rPr>
          <t xml:space="preserve">
</t>
        </r>
        <r>
          <rPr>
            <sz val="14"/>
            <color indexed="81"/>
            <rFont val="Tahoma"/>
            <family val="2"/>
          </rPr>
          <t>NHH = Ngai Hing Hong Co. Ltd.</t>
        </r>
      </text>
    </comment>
    <comment ref="D43" authorId="0">
      <text>
        <r>
          <rPr>
            <b/>
            <sz val="8"/>
            <color indexed="81"/>
            <rFont val="Tahoma"/>
            <family val="2"/>
          </rPr>
          <t>vchiang:</t>
        </r>
        <r>
          <rPr>
            <sz val="8"/>
            <color indexed="81"/>
            <rFont val="Tahoma"/>
            <family val="2"/>
          </rPr>
          <t xml:space="preserve">
</t>
        </r>
        <r>
          <rPr>
            <sz val="14"/>
            <color indexed="81"/>
            <rFont val="Tahoma"/>
            <family val="2"/>
          </rPr>
          <t>Login: vchiang@hk.groupeseb.com
Password: vicki</t>
        </r>
      </text>
    </comment>
    <comment ref="A44" authorId="0">
      <text>
        <r>
          <rPr>
            <b/>
            <sz val="8"/>
            <color indexed="81"/>
            <rFont val="Tahoma"/>
            <family val="2"/>
          </rPr>
          <t>vchiang:</t>
        </r>
        <r>
          <rPr>
            <sz val="8"/>
            <color indexed="81"/>
            <rFont val="Tahoma"/>
            <family val="2"/>
          </rPr>
          <t xml:space="preserve">
Phenol not equal to Phenolic. Phenolic is a compond with around 20 chemical element.  The main component of Phenolic is Phenol and Methanol, there is no relevant indicator of phenolic, so, Groupe SEB only can follow the trend of Phenol and Methnol to see the price revolution.</t>
        </r>
      </text>
    </comment>
    <comment ref="B44" authorId="1">
      <text>
        <r>
          <rPr>
            <b/>
            <sz val="8"/>
            <color indexed="81"/>
            <rFont val="Tahoma"/>
            <family val="2"/>
          </rPr>
          <t xml:space="preserve">vchiang:
</t>
        </r>
        <r>
          <rPr>
            <sz val="14"/>
            <color indexed="81"/>
            <rFont val="Tahoma"/>
            <family val="2"/>
          </rPr>
          <t xml:space="preserve">ICIS provide Asia price trend, SEB Groupe get data from ICIS regularly
</t>
        </r>
        <r>
          <rPr>
            <sz val="8"/>
            <color indexed="81"/>
            <rFont val="Tahoma"/>
            <family val="2"/>
          </rPr>
          <t xml:space="preserve">
</t>
        </r>
      </text>
    </comment>
    <comment ref="H44" authorId="0">
      <text>
        <r>
          <rPr>
            <b/>
            <sz val="8"/>
            <color indexed="81"/>
            <rFont val="Tahoma"/>
            <family val="2"/>
          </rPr>
          <t>vchiang:</t>
        </r>
        <r>
          <rPr>
            <sz val="8"/>
            <color indexed="81"/>
            <rFont val="Tahoma"/>
            <family val="2"/>
          </rPr>
          <t xml:space="preserve">
</t>
        </r>
        <r>
          <rPr>
            <sz val="12"/>
            <color indexed="81"/>
            <rFont val="Tahoma"/>
            <family val="2"/>
          </rPr>
          <t>Phenol not equal to Phenolic. Phenolic is a compond with around 20 chemical element.  The main component of Phenolic is Phenol and Methanol, there is no relevant indicator of phenolic, so, Groupe SEB only can follow the trend of Phenol and Methnol to see the price revolution.</t>
        </r>
      </text>
    </comment>
    <comment ref="D45" authorId="0">
      <text>
        <r>
          <rPr>
            <b/>
            <sz val="8"/>
            <color indexed="81"/>
            <rFont val="Tahoma"/>
            <family val="2"/>
          </rPr>
          <t>vchiang:</t>
        </r>
        <r>
          <rPr>
            <sz val="8"/>
            <color indexed="81"/>
            <rFont val="Tahoma"/>
            <family val="2"/>
          </rPr>
          <t xml:space="preserve">
</t>
        </r>
        <r>
          <rPr>
            <sz val="14"/>
            <color indexed="81"/>
            <rFont val="NSimSun"/>
            <family val="3"/>
            <charset val="134"/>
          </rPr>
          <t>牌號</t>
        </r>
        <r>
          <rPr>
            <sz val="14"/>
            <color indexed="81"/>
            <rFont val="Tahoma"/>
            <family val="2"/>
          </rPr>
          <t>/</t>
        </r>
        <r>
          <rPr>
            <sz val="14"/>
            <color indexed="81"/>
            <rFont val="NSimSun"/>
            <family val="3"/>
            <charset val="134"/>
          </rPr>
          <t xml:space="preserve">生產企業
</t>
        </r>
        <r>
          <rPr>
            <sz val="14"/>
            <color indexed="81"/>
            <rFont val="Tahoma"/>
            <family val="2"/>
          </rPr>
          <t>H161/D141/D131 /</t>
        </r>
        <r>
          <rPr>
            <sz val="14"/>
            <color indexed="81"/>
            <rFont val="NSimSun"/>
            <family val="3"/>
            <charset val="134"/>
          </rPr>
          <t>嘉興民政</t>
        </r>
      </text>
    </comment>
    <comment ref="B46" authorId="0">
      <text>
        <r>
          <rPr>
            <b/>
            <sz val="8"/>
            <color indexed="81"/>
            <rFont val="Tahoma"/>
            <family val="2"/>
          </rPr>
          <t>vchiang:</t>
        </r>
        <r>
          <rPr>
            <sz val="8"/>
            <color indexed="81"/>
            <rFont val="Tahoma"/>
            <family val="2"/>
          </rPr>
          <t xml:space="preserve">
</t>
        </r>
        <r>
          <rPr>
            <sz val="14"/>
            <color indexed="81"/>
            <rFont val="Tahoma"/>
            <family val="2"/>
          </rPr>
          <t>NHH = Ngai Hing Hong Co. Ltd.</t>
        </r>
      </text>
    </comment>
    <comment ref="D46" authorId="0">
      <text>
        <r>
          <rPr>
            <b/>
            <sz val="8"/>
            <color indexed="81"/>
            <rFont val="Tahoma"/>
            <family val="2"/>
          </rPr>
          <t>vchiang:</t>
        </r>
        <r>
          <rPr>
            <sz val="8"/>
            <color indexed="81"/>
            <rFont val="Tahoma"/>
            <family val="2"/>
          </rPr>
          <t xml:space="preserve">
</t>
        </r>
        <r>
          <rPr>
            <sz val="14"/>
            <color indexed="81"/>
            <rFont val="Tahoma"/>
            <family val="2"/>
          </rPr>
          <t>Login: vchiang@hk.groupeseb.com
Password: vicki</t>
        </r>
      </text>
    </comment>
    <comment ref="B47" authorId="0">
      <text>
        <r>
          <rPr>
            <b/>
            <sz val="8"/>
            <color indexed="81"/>
            <rFont val="Tahoma"/>
            <family val="2"/>
          </rPr>
          <t>vchiang:</t>
        </r>
        <r>
          <rPr>
            <sz val="8"/>
            <color indexed="81"/>
            <rFont val="Tahoma"/>
            <family val="2"/>
          </rPr>
          <t xml:space="preserve">
</t>
        </r>
        <r>
          <rPr>
            <sz val="14"/>
            <color indexed="81"/>
            <rFont val="Tahoma"/>
            <family val="2"/>
          </rPr>
          <t>NHH = Ngai Hing Hong Co. Ltd.</t>
        </r>
      </text>
    </comment>
    <comment ref="D47" authorId="0">
      <text>
        <r>
          <rPr>
            <b/>
            <sz val="8"/>
            <color indexed="81"/>
            <rFont val="Tahoma"/>
            <family val="2"/>
          </rPr>
          <t>vchiang:</t>
        </r>
        <r>
          <rPr>
            <sz val="8"/>
            <color indexed="81"/>
            <rFont val="Tahoma"/>
            <family val="2"/>
          </rPr>
          <t xml:space="preserve">
</t>
        </r>
        <r>
          <rPr>
            <sz val="14"/>
            <color indexed="81"/>
            <rFont val="Tahoma"/>
            <family val="2"/>
          </rPr>
          <t>Login: vchiang@hk.groupeseb.com
Password: vicki</t>
        </r>
      </text>
    </comment>
    <comment ref="B48" authorId="0">
      <text>
        <r>
          <rPr>
            <b/>
            <sz val="8"/>
            <color indexed="81"/>
            <rFont val="Tahoma"/>
            <family val="2"/>
          </rPr>
          <t>vchiang:</t>
        </r>
        <r>
          <rPr>
            <sz val="8"/>
            <color indexed="81"/>
            <rFont val="Tahoma"/>
            <family val="2"/>
          </rPr>
          <t xml:space="preserve">
</t>
        </r>
        <r>
          <rPr>
            <sz val="14"/>
            <color indexed="81"/>
            <rFont val="Tahoma"/>
            <family val="2"/>
          </rPr>
          <t>EuWID, a Germany company - Recycling and Waste Management</t>
        </r>
      </text>
    </comment>
    <comment ref="B49" authorId="0">
      <text>
        <r>
          <rPr>
            <b/>
            <sz val="8"/>
            <color indexed="81"/>
            <rFont val="Tahoma"/>
            <family val="2"/>
          </rPr>
          <t>vchiang:</t>
        </r>
        <r>
          <rPr>
            <sz val="8"/>
            <color indexed="81"/>
            <rFont val="Tahoma"/>
            <family val="2"/>
          </rPr>
          <t xml:space="preserve">
</t>
        </r>
        <r>
          <rPr>
            <sz val="14"/>
            <color indexed="81"/>
            <rFont val="Tahoma"/>
            <family val="2"/>
          </rPr>
          <t>EuWID, a Germany company - Recycling and Waste Management</t>
        </r>
      </text>
    </comment>
    <comment ref="B50" authorId="0">
      <text>
        <r>
          <rPr>
            <b/>
            <sz val="8"/>
            <color indexed="81"/>
            <rFont val="Tahoma"/>
            <family val="2"/>
          </rPr>
          <t>vchiang:</t>
        </r>
        <r>
          <rPr>
            <sz val="8"/>
            <color indexed="81"/>
            <rFont val="Tahoma"/>
            <family val="2"/>
          </rPr>
          <t xml:space="preserve">
</t>
        </r>
        <r>
          <rPr>
            <sz val="14"/>
            <color indexed="81"/>
            <rFont val="Tahoma"/>
            <family val="2"/>
          </rPr>
          <t>EuWID, a Germany company - Recycling and Waste Management</t>
        </r>
      </text>
    </comment>
    <comment ref="B51" authorId="0">
      <text>
        <r>
          <rPr>
            <b/>
            <sz val="8"/>
            <color indexed="81"/>
            <rFont val="Tahoma"/>
            <family val="2"/>
          </rPr>
          <t>vchiang:</t>
        </r>
        <r>
          <rPr>
            <sz val="8"/>
            <color indexed="81"/>
            <rFont val="Tahoma"/>
            <family val="2"/>
          </rPr>
          <t xml:space="preserve">
</t>
        </r>
        <r>
          <rPr>
            <sz val="14"/>
            <color indexed="81"/>
            <rFont val="Tahoma"/>
            <family val="2"/>
          </rPr>
          <t>SFE = Shanghai Future Exchange</t>
        </r>
      </text>
    </comment>
    <comment ref="B52" authorId="0">
      <text>
        <r>
          <rPr>
            <b/>
            <sz val="8"/>
            <color indexed="81"/>
            <rFont val="Tahoma"/>
            <family val="2"/>
          </rPr>
          <t>vchiang:</t>
        </r>
        <r>
          <rPr>
            <sz val="8"/>
            <color indexed="81"/>
            <rFont val="Tahoma"/>
            <family val="2"/>
          </rPr>
          <t xml:space="preserve">
</t>
        </r>
        <r>
          <rPr>
            <sz val="14"/>
            <color indexed="81"/>
            <rFont val="Tahoma"/>
            <family val="2"/>
          </rPr>
          <t>LME = London Metal Exchange</t>
        </r>
      </text>
    </comment>
    <comment ref="B53" authorId="0">
      <text>
        <r>
          <rPr>
            <b/>
            <sz val="8"/>
            <color indexed="81"/>
            <rFont val="Tahoma"/>
            <family val="2"/>
          </rPr>
          <t>vchiang:</t>
        </r>
        <r>
          <rPr>
            <sz val="8"/>
            <color indexed="81"/>
            <rFont val="Tahoma"/>
            <family val="2"/>
          </rPr>
          <t xml:space="preserve">
</t>
        </r>
        <r>
          <rPr>
            <sz val="14"/>
            <color indexed="81"/>
            <rFont val="Tahoma"/>
            <family val="2"/>
          </rPr>
          <t>LME = London Metal Exchange</t>
        </r>
      </text>
    </comment>
    <comment ref="B76" authorId="0">
      <text>
        <r>
          <rPr>
            <b/>
            <sz val="8"/>
            <color indexed="81"/>
            <rFont val="Tahoma"/>
            <family val="2"/>
          </rPr>
          <t>vchiang:</t>
        </r>
        <r>
          <rPr>
            <sz val="8"/>
            <color indexed="81"/>
            <rFont val="Tahoma"/>
            <family val="2"/>
          </rPr>
          <t xml:space="preserve">
Metalnews.cn = </t>
        </r>
        <r>
          <rPr>
            <sz val="8"/>
            <color indexed="81"/>
            <rFont val="NSimSun"/>
            <family val="3"/>
            <charset val="134"/>
          </rPr>
          <t>中國金屬新聞網</t>
        </r>
      </text>
    </comment>
    <comment ref="D76" authorId="0">
      <text>
        <r>
          <rPr>
            <b/>
            <sz val="8"/>
            <color indexed="81"/>
            <rFont val="Tahoma"/>
            <family val="2"/>
          </rPr>
          <t>vchiang:</t>
        </r>
        <r>
          <rPr>
            <sz val="8"/>
            <color indexed="81"/>
            <rFont val="Tahoma"/>
            <family val="2"/>
          </rPr>
          <t xml:space="preserve">
</t>
        </r>
        <r>
          <rPr>
            <sz val="14"/>
            <color indexed="81"/>
            <rFont val="Tahoma"/>
            <family val="2"/>
          </rPr>
          <t>Login: vchiang
Password: sebasia</t>
        </r>
      </text>
    </comment>
  </commentList>
</comments>
</file>

<file path=xl/comments2.xml><?xml version="1.0" encoding="utf-8"?>
<comments xmlns="http://schemas.openxmlformats.org/spreadsheetml/2006/main">
  <authors>
    <author>vchiang</author>
    <author xml:space="preserve"> </author>
  </authors>
  <commentList>
    <comment ref="B2" authorId="0">
      <text>
        <r>
          <rPr>
            <b/>
            <sz val="8"/>
            <color indexed="81"/>
            <rFont val="Tahoma"/>
            <family val="2"/>
          </rPr>
          <t>vchiang:</t>
        </r>
        <r>
          <rPr>
            <sz val="8"/>
            <color indexed="81"/>
            <rFont val="Tahoma"/>
            <family val="2"/>
          </rPr>
          <t xml:space="preserve">
</t>
        </r>
        <r>
          <rPr>
            <sz val="14"/>
            <color indexed="81"/>
            <rFont val="Tahoma"/>
            <family val="2"/>
          </rPr>
          <t>SFE = Shanghai Future Exchange</t>
        </r>
      </text>
    </comment>
    <comment ref="B3" authorId="0">
      <text>
        <r>
          <rPr>
            <b/>
            <sz val="8"/>
            <color indexed="81"/>
            <rFont val="Tahoma"/>
            <family val="2"/>
          </rPr>
          <t>vchiang:</t>
        </r>
        <r>
          <rPr>
            <sz val="8"/>
            <color indexed="81"/>
            <rFont val="Tahoma"/>
            <family val="2"/>
          </rPr>
          <t xml:space="preserve">
</t>
        </r>
        <r>
          <rPr>
            <sz val="14"/>
            <color indexed="81"/>
            <rFont val="Tahoma"/>
            <family val="2"/>
          </rPr>
          <t>SFE = Shanghai Future Exchange</t>
        </r>
      </text>
    </comment>
    <comment ref="B4" authorId="1">
      <text>
        <r>
          <rPr>
            <b/>
            <sz val="8"/>
            <color indexed="81"/>
            <rFont val="Tahoma"/>
            <family val="2"/>
          </rPr>
          <t xml:space="preserve">vchiang:
</t>
        </r>
        <r>
          <rPr>
            <sz val="14"/>
            <color indexed="81"/>
            <rFont val="Tahoma"/>
            <family val="2"/>
          </rPr>
          <t xml:space="preserve">ICIS provide Asia price trend, SEB Groupe get data from ICIS regularly
</t>
        </r>
        <r>
          <rPr>
            <sz val="8"/>
            <color indexed="81"/>
            <rFont val="Tahoma"/>
            <family val="2"/>
          </rPr>
          <t xml:space="preserve">
</t>
        </r>
      </text>
    </comment>
    <comment ref="B5" authorId="0">
      <text>
        <r>
          <rPr>
            <b/>
            <sz val="8"/>
            <color indexed="81"/>
            <rFont val="Tahoma"/>
            <family val="2"/>
          </rPr>
          <t>vchiang:</t>
        </r>
        <r>
          <rPr>
            <sz val="8"/>
            <color indexed="81"/>
            <rFont val="Tahoma"/>
            <family val="2"/>
          </rPr>
          <t xml:space="preserve">
</t>
        </r>
        <r>
          <rPr>
            <sz val="14"/>
            <color indexed="81"/>
            <rFont val="Tahoma"/>
            <family val="2"/>
          </rPr>
          <t xml:space="preserve">BuXiuGangTianDi </t>
        </r>
        <r>
          <rPr>
            <sz val="14"/>
            <color indexed="81"/>
            <rFont val="NSimSun"/>
            <family val="3"/>
            <charset val="134"/>
          </rPr>
          <t>不锈钢天地</t>
        </r>
        <r>
          <rPr>
            <sz val="14"/>
            <color indexed="81"/>
            <rFont val="Tahoma"/>
            <family val="2"/>
          </rPr>
          <t xml:space="preserve"> - China website</t>
        </r>
      </text>
    </comment>
  </commentList>
</comments>
</file>

<file path=xl/sharedStrings.xml><?xml version="1.0" encoding="utf-8"?>
<sst xmlns="http://schemas.openxmlformats.org/spreadsheetml/2006/main" count="1514" uniqueCount="594">
  <si>
    <t>The AVERAGE rate is the average of all the ASK prices for the given time period.</t>
  </si>
  <si>
    <t>Link</t>
  </si>
  <si>
    <t xml:space="preserve"> Copper </t>
  </si>
  <si>
    <t xml:space="preserve">Nickel </t>
  </si>
  <si>
    <t>AMSE</t>
  </si>
  <si>
    <t>Currency</t>
  </si>
  <si>
    <t>Data details</t>
  </si>
  <si>
    <t xml:space="preserve">Coils 430 1,2mm </t>
  </si>
  <si>
    <t>Coils 430 1,2mm</t>
  </si>
  <si>
    <t>ICIS</t>
  </si>
  <si>
    <t>PP Homo</t>
  </si>
  <si>
    <t xml:space="preserve">ABS </t>
  </si>
  <si>
    <t>Oanda</t>
  </si>
  <si>
    <t>RMB</t>
  </si>
  <si>
    <t>EUR</t>
  </si>
  <si>
    <t>USD</t>
  </si>
  <si>
    <t>SAN</t>
  </si>
  <si>
    <t>PC</t>
  </si>
  <si>
    <t>Paper -Fluting</t>
  </si>
  <si>
    <t>Paper - White Top GD2</t>
  </si>
  <si>
    <t>USD/RMB</t>
  </si>
  <si>
    <t>RMB/USD</t>
  </si>
  <si>
    <t>Source</t>
  </si>
  <si>
    <t>http://lil93nt/en/jobs/purchasing/common_data/Material_rates/Mat_Followup_Polypropylene_EN.xls</t>
  </si>
  <si>
    <t>http://lil93nt/en/jobs/purchasing/common_data/Material_rates/Mat_Followup_Phenolic_EN.xls</t>
  </si>
  <si>
    <t>http://www.oanda.com/convert/fxhistory</t>
  </si>
  <si>
    <t xml:space="preserve">need login </t>
  </si>
  <si>
    <t>Zone</t>
  </si>
  <si>
    <t>Europe</t>
  </si>
  <si>
    <t>Hong Kong</t>
  </si>
  <si>
    <t>France</t>
  </si>
  <si>
    <t>USD/MT</t>
  </si>
  <si>
    <t>RMB/MT</t>
  </si>
  <si>
    <t>USD/EUR</t>
  </si>
  <si>
    <t>EUR/USD</t>
  </si>
  <si>
    <t>RMB/EUR</t>
  </si>
  <si>
    <t>PA66</t>
  </si>
  <si>
    <t>EUR/T</t>
  </si>
  <si>
    <t>Name</t>
  </si>
  <si>
    <t>Material</t>
  </si>
  <si>
    <t>Start date</t>
  </si>
  <si>
    <t>End date</t>
  </si>
  <si>
    <t>Material 1</t>
  </si>
  <si>
    <t>Material 2</t>
  </si>
  <si>
    <t>Material 3</t>
  </si>
  <si>
    <t>Material 4</t>
  </si>
  <si>
    <t>Material 5</t>
  </si>
  <si>
    <t>Material 6</t>
  </si>
  <si>
    <t>Paper - White Top GD2 - EU (EUR/T)</t>
  </si>
  <si>
    <t>Currency - USD/RMB (RMB)</t>
  </si>
  <si>
    <t>Currency - RMB/USD (USD)</t>
  </si>
  <si>
    <t>Currency - USD/EUR (EUR)</t>
  </si>
  <si>
    <t>Currency - EUR/USD (USD)</t>
  </si>
  <si>
    <t>Currency - EUR/RMB (RMB)</t>
  </si>
  <si>
    <t>Currency - RMB/EUR (EUR)</t>
  </si>
  <si>
    <t>Copper</t>
    <phoneticPr fontId="11" type="noConversion"/>
  </si>
  <si>
    <t>SFE</t>
    <phoneticPr fontId="11" type="noConversion"/>
  </si>
  <si>
    <t>RMB/MT</t>
    <phoneticPr fontId="11" type="noConversion"/>
  </si>
  <si>
    <t>USD/MT</t>
    <phoneticPr fontId="11" type="noConversion"/>
  </si>
  <si>
    <t xml:space="preserve">ABS </t>
    <phoneticPr fontId="11" type="noConversion"/>
  </si>
  <si>
    <t>NHH</t>
    <phoneticPr fontId="11" type="noConversion"/>
  </si>
  <si>
    <t>Material type</t>
  </si>
  <si>
    <t>Metal</t>
  </si>
  <si>
    <t>Paper</t>
  </si>
  <si>
    <t>Plastic</t>
  </si>
  <si>
    <t>Material Index</t>
  </si>
  <si>
    <t>Type</t>
  </si>
  <si>
    <t>Current Month:</t>
  </si>
  <si>
    <t>Last Updated by:</t>
  </si>
  <si>
    <t>Last Update date:</t>
  </si>
  <si>
    <t>Month</t>
  </si>
  <si>
    <t>Column</t>
  </si>
  <si>
    <t>Date 1</t>
  </si>
  <si>
    <t>Date 2</t>
  </si>
  <si>
    <t>Date 3</t>
  </si>
  <si>
    <t>Date 4</t>
  </si>
  <si>
    <t>Date 5</t>
  </si>
  <si>
    <t>Date 6</t>
  </si>
  <si>
    <t>#</t>
  </si>
  <si>
    <t>Shanghai</t>
    <phoneticPr fontId="11" type="noConversion"/>
  </si>
  <si>
    <t>China</t>
    <phoneticPr fontId="11" type="noConversion"/>
  </si>
  <si>
    <t>PP Homo</t>
    <phoneticPr fontId="11" type="noConversion"/>
  </si>
  <si>
    <t>Paper -Offset 
80gr</t>
    <phoneticPr fontId="11" type="noConversion"/>
  </si>
  <si>
    <t>LME</t>
    <phoneticPr fontId="11" type="noConversion"/>
  </si>
  <si>
    <t>EUWID</t>
    <phoneticPr fontId="11" type="noConversion"/>
  </si>
  <si>
    <t>TBC</t>
    <phoneticPr fontId="11" type="noConversion"/>
  </si>
  <si>
    <t>China</t>
    <phoneticPr fontId="11" type="noConversion"/>
  </si>
  <si>
    <t>RMB/MT</t>
    <phoneticPr fontId="11" type="noConversion"/>
  </si>
  <si>
    <t>Coal</t>
    <phoneticPr fontId="11" type="noConversion"/>
  </si>
  <si>
    <t>RM - Coal - CN (RMB/MT) TBC</t>
    <phoneticPr fontId="11" type="noConversion"/>
  </si>
  <si>
    <t>Energy</t>
    <phoneticPr fontId="11" type="noConversion"/>
  </si>
  <si>
    <t>Labour</t>
    <phoneticPr fontId="11" type="noConversion"/>
  </si>
  <si>
    <t>Electricity</t>
    <phoneticPr fontId="11" type="noConversion"/>
  </si>
  <si>
    <t>BMC</t>
    <phoneticPr fontId="11" type="noConversion"/>
  </si>
  <si>
    <t>Yuda</t>
    <phoneticPr fontId="11" type="noConversion"/>
  </si>
  <si>
    <t>verbal</t>
    <phoneticPr fontId="11" type="noConversion"/>
  </si>
  <si>
    <t>Plastic</t>
    <phoneticPr fontId="11" type="noConversion"/>
  </si>
  <si>
    <t>China</t>
    <phoneticPr fontId="11" type="noConversion"/>
  </si>
  <si>
    <t>RMB/kg</t>
    <phoneticPr fontId="11" type="noConversion"/>
  </si>
  <si>
    <t xml:space="preserve">Coils 304 1,2mm </t>
    <phoneticPr fontId="11" type="noConversion"/>
  </si>
  <si>
    <t>EUWID France, Column B</t>
    <phoneticPr fontId="11" type="noConversion"/>
  </si>
  <si>
    <t>EUWID France, Column Q</t>
    <phoneticPr fontId="11" type="noConversion"/>
  </si>
  <si>
    <t>EUWID France, Column K</t>
    <phoneticPr fontId="11" type="noConversion"/>
  </si>
  <si>
    <t>http://www.shfe.com.cn/Ehome/index.jsp</t>
  </si>
  <si>
    <t>China Aluminium Network</t>
  </si>
  <si>
    <t>nhh.com.hk</t>
  </si>
  <si>
    <t>www.bxgtd.com</t>
    <phoneticPr fontId="11" type="noConversion"/>
  </si>
  <si>
    <t>vchiang@hk.groupeseb.com</t>
  </si>
  <si>
    <t>Shanghai Future Exchange</t>
    <phoneticPr fontId="11" type="noConversion"/>
  </si>
  <si>
    <t>www.alu.com.cn</t>
    <phoneticPr fontId="11" type="noConversion"/>
  </si>
  <si>
    <t>MemberID:</t>
    <phoneticPr fontId="11" type="noConversion"/>
  </si>
  <si>
    <t>Password:</t>
    <phoneticPr fontId="11" type="noConversion"/>
  </si>
  <si>
    <t>sebasia</t>
    <phoneticPr fontId="11" type="noConversion"/>
  </si>
  <si>
    <t xml:space="preserve">E-mail: </t>
    <phoneticPr fontId="11" type="noConversion"/>
  </si>
  <si>
    <t>vicki</t>
    <phoneticPr fontId="11" type="noConversion"/>
  </si>
  <si>
    <t>Login:</t>
    <phoneticPr fontId="11" type="noConversion"/>
  </si>
  <si>
    <t>vchiang</t>
    <phoneticPr fontId="11" type="noConversion"/>
  </si>
  <si>
    <t>London Metal Exchange</t>
    <phoneticPr fontId="11" type="noConversion"/>
  </si>
  <si>
    <t>(find the price of all the Chinese steel factory historic price.)</t>
    <phoneticPr fontId="11" type="noConversion"/>
  </si>
  <si>
    <t>TTI</t>
    <phoneticPr fontId="11" type="noConversion"/>
  </si>
  <si>
    <t>http://www.ttiinc.com/page/ME_Materials.html</t>
    <phoneticPr fontId="11" type="noConversion"/>
  </si>
  <si>
    <t>(Trends in the Costs of Raw Materials)</t>
    <phoneticPr fontId="11" type="noConversion"/>
  </si>
  <si>
    <t>Oanda</t>
    <phoneticPr fontId="11" type="noConversion"/>
  </si>
  <si>
    <t>(Exchange rate)</t>
    <phoneticPr fontId="11" type="noConversion"/>
  </si>
  <si>
    <t>Plastic material price trend of HK</t>
    <phoneticPr fontId="11" type="noConversion"/>
  </si>
  <si>
    <t>and Hua Dong (China)</t>
    <phoneticPr fontId="11" type="noConversion"/>
  </si>
  <si>
    <r>
      <rPr>
        <sz val="11"/>
        <color theme="1"/>
        <rFont val="宋体"/>
        <family val="2"/>
        <charset val="134"/>
      </rPr>
      <t>不锈钢天地</t>
    </r>
    <r>
      <rPr>
        <sz val="11"/>
        <color theme="1"/>
        <rFont val="Arial"/>
        <family val="2"/>
      </rPr>
      <t xml:space="preserve"> (Stainless Steel)</t>
    </r>
    <phoneticPr fontId="11" type="noConversion"/>
  </si>
  <si>
    <t xml:space="preserve">Ngai Hing Hong Plastic Materials Ltd. </t>
    <phoneticPr fontId="11" type="noConversion"/>
  </si>
  <si>
    <t>12 raw materials : Alu, Copper, Gold, Lead, Ni, Oil, Pal, Platinum, Silver, Steel, Tin, Zi</t>
    <phoneticPr fontId="11" type="noConversion"/>
  </si>
  <si>
    <t>http://www.lme.co.uk/</t>
  </si>
  <si>
    <t>BXGTD</t>
    <phoneticPr fontId="11" type="noConversion"/>
  </si>
  <si>
    <t>USD/MT</t>
    <phoneticPr fontId="11" type="noConversion"/>
  </si>
  <si>
    <r>
      <t>2008</t>
    </r>
    <r>
      <rPr>
        <sz val="10"/>
        <rFont val="NSimSun"/>
        <family val="3"/>
        <charset val="134"/>
      </rPr>
      <t>年</t>
    </r>
    <r>
      <rPr>
        <sz val="10"/>
        <rFont val="Tahoma"/>
        <family val="2"/>
      </rPr>
      <t>1-10</t>
    </r>
    <r>
      <rPr>
        <sz val="10"/>
        <rFont val="NSimSun"/>
        <family val="3"/>
        <charset val="134"/>
      </rPr>
      <t>月国内煤炭价格走势图</t>
    </r>
    <phoneticPr fontId="11" type="noConversion"/>
  </si>
  <si>
    <t>Fuel Oil</t>
    <phoneticPr fontId="11" type="noConversion"/>
  </si>
  <si>
    <t>Alu ingot</t>
    <phoneticPr fontId="11" type="noConversion"/>
  </si>
  <si>
    <t>China Paper Price Trend</t>
    <phoneticPr fontId="11" type="noConversion"/>
  </si>
  <si>
    <t>http://www.paper.com.cn/en/</t>
    <phoneticPr fontId="11" type="noConversion"/>
  </si>
  <si>
    <t>中國鋁業網</t>
    <phoneticPr fontId="11" type="noConversion"/>
  </si>
  <si>
    <t>中國紙網</t>
    <phoneticPr fontId="11" type="noConversion"/>
  </si>
  <si>
    <t>x Exchange rate RMB/USD</t>
    <phoneticPr fontId="11" type="noConversion"/>
  </si>
  <si>
    <t>Alu Alloy (ADC-12/ADC-3)</t>
    <phoneticPr fontId="11" type="noConversion"/>
  </si>
  <si>
    <t>Paper</t>
    <phoneticPr fontId="11" type="noConversion"/>
  </si>
  <si>
    <r>
      <t xml:space="preserve">price trend need pay </t>
    </r>
    <r>
      <rPr>
        <sz val="11"/>
        <color theme="1"/>
        <rFont val="NSimSun"/>
        <family val="3"/>
        <charset val="134"/>
      </rPr>
      <t>服务费</t>
    </r>
    <r>
      <rPr>
        <sz val="11"/>
        <color theme="1"/>
        <rFont val="Arial"/>
        <family val="2"/>
      </rPr>
      <t>:RMB3800/</t>
    </r>
    <r>
      <rPr>
        <sz val="11"/>
        <color theme="1"/>
        <rFont val="NSimSun"/>
        <family val="3"/>
        <charset val="134"/>
      </rPr>
      <t>年</t>
    </r>
    <r>
      <rPr>
        <sz val="11"/>
        <color theme="1"/>
        <rFont val="Arial"/>
        <family val="2"/>
      </rPr>
      <t>- Not apply</t>
    </r>
    <phoneticPr fontId="11" type="noConversion"/>
  </si>
  <si>
    <t>Zhejiang area</t>
    <phoneticPr fontId="11" type="noConversion"/>
  </si>
  <si>
    <t>During visit</t>
    <phoneticPr fontId="11" type="noConversion"/>
  </si>
  <si>
    <t>RMB</t>
    <phoneticPr fontId="11" type="noConversion"/>
  </si>
  <si>
    <t>EN - Labour - CN (RMB) TBC</t>
    <phoneticPr fontId="11" type="noConversion"/>
  </si>
  <si>
    <t>Others</t>
    <phoneticPr fontId="11" type="noConversion"/>
  </si>
  <si>
    <t>GBP/USD</t>
    <phoneticPr fontId="11" type="noConversion"/>
  </si>
  <si>
    <t>EUR/RMB</t>
    <phoneticPr fontId="11" type="noConversion"/>
  </si>
  <si>
    <t>Others</t>
  </si>
  <si>
    <t>Currency - GBP/USD (USD)</t>
  </si>
  <si>
    <t>Paper - Fluting - EU (EUR/T)</t>
  </si>
  <si>
    <t>Paper - Offset 80gr - EU (EUR/T)</t>
  </si>
  <si>
    <t>BMC</t>
    <phoneticPr fontId="11" type="noConversion"/>
  </si>
  <si>
    <t>BMCI</t>
    <phoneticPr fontId="11" type="noConversion"/>
  </si>
  <si>
    <t>IDI (Shanghai)</t>
    <phoneticPr fontId="11" type="noConversion"/>
  </si>
  <si>
    <t>BMC (Yuda) - CN (RMB/kg)</t>
    <phoneticPr fontId="11" type="noConversion"/>
  </si>
  <si>
    <t>BMC (IDI) - CN (RMB/set)</t>
    <phoneticPr fontId="11" type="noConversion"/>
  </si>
  <si>
    <t>BMC (BMCI) - CN (RMB/set)</t>
    <phoneticPr fontId="11" type="noConversion"/>
  </si>
  <si>
    <t>Metal - Alu ingot - CN (RMB/T)</t>
    <phoneticPr fontId="11" type="noConversion"/>
  </si>
  <si>
    <t>Metal - Alu ingot - CN (USD/T)</t>
    <phoneticPr fontId="11" type="noConversion"/>
  </si>
  <si>
    <t>Metal - Alu ingot - EU (USD/T)</t>
    <phoneticPr fontId="11" type="noConversion"/>
  </si>
  <si>
    <t>Metal - Alu Alloy - EU (USD/T)</t>
    <phoneticPr fontId="11" type="noConversion"/>
  </si>
  <si>
    <t>Metal - Copper - CN (USD/T)</t>
  </si>
  <si>
    <t>Metal - Copper - CN (RMB/T)</t>
  </si>
  <si>
    <t>Metal - Copper - EU (USD/T)</t>
  </si>
  <si>
    <t>Metal - SS 202 1,2mm - CN (RMB/T)</t>
  </si>
  <si>
    <t>Metal - SS 202 1,2mm - CN (USD/T)</t>
  </si>
  <si>
    <t>Metal - SS 304 1,2mm - CN (RMB/T)</t>
  </si>
  <si>
    <t>Metal - SS 304 1,2mm - CN (USD/T)</t>
  </si>
  <si>
    <t>Metal - SS 304 1,2mm - EU (USD/T)</t>
  </si>
  <si>
    <t>Metal - SS 430 1,2mm - CN (RMB/T)</t>
  </si>
  <si>
    <t>Metal - SS 430 1,2mm - CN (USD/T)</t>
  </si>
  <si>
    <t>Metal - SS 430 1,2mm - EU (USD/T)</t>
  </si>
  <si>
    <t>Plastic - ABS - HK (USD/T)</t>
  </si>
  <si>
    <t>Plastic - ABS - EU (USD/T)</t>
  </si>
  <si>
    <t>Plastic - PP Homo - CN (USD/T)</t>
  </si>
  <si>
    <t>Plastic - PP Homo - HK (USD/T)</t>
  </si>
  <si>
    <t>Plastic - PA66 - HK (USD/T)</t>
  </si>
  <si>
    <t>Plastic - PC - HK (USD/T)</t>
  </si>
  <si>
    <t>Plastic - SAN - HK (USD/T)</t>
  </si>
  <si>
    <t>Others - Fuel Oil - CN (RMB/T)</t>
  </si>
  <si>
    <t>Others - Nickel - EU (USD/T)</t>
  </si>
  <si>
    <t>website and password</t>
    <phoneticPr fontId="11" type="noConversion"/>
  </si>
  <si>
    <t>PF (T375J)</t>
    <phoneticPr fontId="11" type="noConversion"/>
  </si>
  <si>
    <t>Junjia (Supplier CCP)</t>
    <phoneticPr fontId="11" type="noConversion"/>
  </si>
  <si>
    <t>price from supplier (Lillian)</t>
    <phoneticPr fontId="11" type="noConversion"/>
  </si>
  <si>
    <t>China</t>
    <phoneticPr fontId="11" type="noConversion"/>
  </si>
  <si>
    <t>USD/kg</t>
    <phoneticPr fontId="11" type="noConversion"/>
  </si>
  <si>
    <t>Plastic - PF (T375J) - CN(USD/kg)</t>
    <phoneticPr fontId="11" type="noConversion"/>
  </si>
  <si>
    <t>N.A</t>
    <phoneticPr fontId="27" type="noConversion"/>
  </si>
  <si>
    <t>Website and password</t>
    <phoneticPr fontId="11" type="noConversion"/>
  </si>
  <si>
    <t>China CCM</t>
    <phoneticPr fontId="11" type="noConversion"/>
  </si>
  <si>
    <t>中國商務網</t>
    <phoneticPr fontId="11" type="noConversion"/>
  </si>
  <si>
    <t>http://www.chinaccm.com</t>
    <phoneticPr fontId="11" type="noConversion"/>
  </si>
  <si>
    <t>Cast Iron</t>
    <phoneticPr fontId="11" type="noConversion"/>
  </si>
  <si>
    <t>Alibaba</t>
    <phoneticPr fontId="11" type="noConversion"/>
  </si>
  <si>
    <t>POM</t>
    <phoneticPr fontId="11" type="noConversion"/>
  </si>
  <si>
    <t>Plastic - POM - HK (USD/T)</t>
    <phoneticPr fontId="11" type="noConversion"/>
  </si>
  <si>
    <t>Metal - Cast Iron - CN (RMB/T)</t>
    <phoneticPr fontId="11" type="noConversion"/>
  </si>
  <si>
    <t>Metal - Cast Iron - CN (USD/T)</t>
    <phoneticPr fontId="11" type="noConversion"/>
  </si>
  <si>
    <t>Plastic - Phenol RM - CN (USD/T)</t>
    <phoneticPr fontId="11" type="noConversion"/>
  </si>
  <si>
    <t>Phenol RM</t>
    <phoneticPr fontId="11" type="noConversion"/>
  </si>
  <si>
    <t xml:space="preserve">PP (HJ730) for SSEAC </t>
    <phoneticPr fontId="11" type="noConversion"/>
  </si>
  <si>
    <t>Samsung</t>
    <phoneticPr fontId="11" type="noConversion"/>
  </si>
  <si>
    <t>Monthly AVG price with formula</t>
    <phoneticPr fontId="11" type="noConversion"/>
  </si>
  <si>
    <t>Plastic</t>
    <phoneticPr fontId="11" type="noConversion"/>
  </si>
  <si>
    <t>China</t>
    <phoneticPr fontId="11" type="noConversion"/>
  </si>
  <si>
    <t>USD/T</t>
    <phoneticPr fontId="11" type="noConversion"/>
  </si>
  <si>
    <t>PP (HJ400) for SSEAC</t>
    <phoneticPr fontId="11" type="noConversion"/>
  </si>
  <si>
    <t>Plastic - PP (HJ400) - CN (USD/T)</t>
    <phoneticPr fontId="11" type="noConversion"/>
  </si>
  <si>
    <t>PP (HJ730) for HongShing</t>
    <phoneticPr fontId="11" type="noConversion"/>
  </si>
  <si>
    <t>Plastic - PP (HJ730) for OEM- CN (USD/T)</t>
    <phoneticPr fontId="11" type="noConversion"/>
  </si>
  <si>
    <t>Plastic - PP (HJ730) for SSEAC - CN (USD/T)</t>
    <phoneticPr fontId="11" type="noConversion"/>
  </si>
  <si>
    <t>Silver</t>
    <phoneticPr fontId="11" type="noConversion"/>
  </si>
  <si>
    <t>Others</t>
    <phoneticPr fontId="11" type="noConversion"/>
  </si>
  <si>
    <t>Europe</t>
    <phoneticPr fontId="11" type="noConversion"/>
  </si>
  <si>
    <t>USD/troy oz.</t>
    <phoneticPr fontId="11" type="noConversion"/>
  </si>
  <si>
    <t>Others - Silver - EU (USD/oz)</t>
    <phoneticPr fontId="11" type="noConversion"/>
  </si>
  <si>
    <t>Thermostat</t>
    <phoneticPr fontId="11" type="noConversion"/>
  </si>
  <si>
    <t>The market buy has agreed on around 2% increase on typical iron due the increase of silver price.</t>
    <phoneticPr fontId="11" type="noConversion"/>
  </si>
  <si>
    <t>once new line added</t>
    <phoneticPr fontId="11" type="noConversion"/>
  </si>
  <si>
    <t>go to "Formulas" -&gt; Name Manager</t>
    <phoneticPr fontId="11" type="noConversion"/>
  </si>
  <si>
    <t>Edit the item accordingly</t>
    <phoneticPr fontId="11" type="noConversion"/>
  </si>
  <si>
    <t>Data =&gt; Monthly prices (Al)=&gt; (High+Low)/2</t>
    <phoneticPr fontId="11" type="noConversion"/>
  </si>
  <si>
    <t>Data =&gt; Monthly prices (Fu) =&gt; (High+Low)/2</t>
    <phoneticPr fontId="11" type="noConversion"/>
  </si>
  <si>
    <t>The standard lowest salary in China (by Province), salary only, not included insurance, OT etc.</t>
    <phoneticPr fontId="28" type="noConversion"/>
  </si>
  <si>
    <r>
      <t>2008</t>
    </r>
    <r>
      <rPr>
        <sz val="11"/>
        <color theme="1"/>
        <rFont val="NSimSun"/>
        <family val="3"/>
        <charset val="134"/>
      </rPr>
      <t>中国各省市最低工资标准数据</t>
    </r>
    <phoneticPr fontId="28" type="noConversion"/>
  </si>
  <si>
    <t>http://hi.baidu.com/guhkhjj/blog/item/051c5aa740a6f092d14358b0.html</t>
    <phoneticPr fontId="28" type="noConversion"/>
  </si>
  <si>
    <t>2008年7月01日：深圳特区内1000元 特区外为900元</t>
  </si>
  <si>
    <t>2008年4月01日：上海最低工资标准从840元调整到960元</t>
  </si>
  <si>
    <t>2008年2月20日：广州最低工资标准从780元调整为860元</t>
  </si>
  <si>
    <t>2008年7月01日：6月30以前,南京的最低工资标准为850元</t>
  </si>
  <si>
    <t>2008年7月01日：杭州最低工资标准从750元提高到850元</t>
  </si>
  <si>
    <t>2008年4月01日：天津市最低工资标准调整为820元</t>
  </si>
  <si>
    <t>2008年7月01日：北京最低工资标准从730元上调至800元</t>
  </si>
  <si>
    <t>2008年7月01日：大连最低工资标准从730元上调至800元</t>
  </si>
  <si>
    <t>2008年1月01日：成都全日制最低工资标准为650元/月左右</t>
  </si>
  <si>
    <t>2008年1月01日：哈尔滨最低工资标准590元上调到650元</t>
  </si>
  <si>
    <t>2008年1月01日：长春2008年最低工资650元</t>
  </si>
  <si>
    <t>2008年1月01日：沈阳规定最低工资600元</t>
  </si>
  <si>
    <t>2008年1月01日：济南2008年最低工资760元</t>
  </si>
  <si>
    <t>2008年2月01日：河北 2008-2-1年最低工资680元</t>
  </si>
  <si>
    <t>2008年1月01日：内蒙古最低工资标准680元</t>
  </si>
  <si>
    <t>2008年1月01日：西藏分别调整为630元、680元、730元</t>
  </si>
  <si>
    <t>2008年1月01日：新疆800元/月、670元/月、610元/月</t>
  </si>
  <si>
    <t>2008年1月01日：西宁最低工资标准由460元调整为600元</t>
  </si>
  <si>
    <t>2008年1月01日：银川市、石嘴山市每人每月由300元调整为350元；</t>
  </si>
  <si>
    <t>2008年1月01日：兰州市区最低工资标准620元/月 从430元到620元</t>
  </si>
  <si>
    <t>2008年1月01日：西安全日制最低工资标准为600元/月左右</t>
  </si>
  <si>
    <t>2008年1月01日：郑州全日制最低工资标准为600元/月左右</t>
  </si>
  <si>
    <t>2008年1月01日：安徽全日制最低工资标准为600元/月左右</t>
  </si>
  <si>
    <t>2008年1月01日：福建全日制最低工资标准为750元/月左右</t>
  </si>
  <si>
    <t>2008年1月01日：南昌全日制最低工资标准为580元/月左右</t>
  </si>
  <si>
    <t>2008年1月01日：贵州全日制最低工资标准为650元/月左右</t>
  </si>
  <si>
    <t>2008年1月01日：云南全日制最低工资标准为680元/月左右</t>
  </si>
  <si>
    <t>2008年1月01日：青海全日制最低工资标准为580元/月左右</t>
  </si>
  <si>
    <t>2008年1月01日：重庆全日制最低工资标准为680元/月左右</t>
  </si>
  <si>
    <t>2008年1月01日：海南全日制最低工资标准为630元/月左右</t>
  </si>
  <si>
    <t>2008年1月01日：广西全日制最低工资标准为580元/月左右</t>
  </si>
  <si>
    <t>2008年1月01日：湖南全日制最低工资标准为665元/月左右</t>
  </si>
  <si>
    <t>2008年1月01日：武汉全日制最低工资标准为580元/月左右</t>
  </si>
  <si>
    <t>2008 China basic salary (workers) by province</t>
    <phoneticPr fontId="11" type="noConversion"/>
  </si>
  <si>
    <t>SEB ASIA LTD.</t>
  </si>
  <si>
    <t>COST DRIVER ANALYSIS</t>
  </si>
  <si>
    <t>COST CONTROL TEAM</t>
  </si>
  <si>
    <t>To select</t>
  </si>
  <si>
    <t>SBU</t>
  </si>
  <si>
    <t>Product Family</t>
  </si>
  <si>
    <t>Date :</t>
  </si>
  <si>
    <t>To complete</t>
  </si>
  <si>
    <t>Automatically filled</t>
  </si>
  <si>
    <t>Item 1</t>
  </si>
  <si>
    <t>Item 2</t>
  </si>
  <si>
    <t>Item 3</t>
  </si>
  <si>
    <t>Item 4</t>
  </si>
  <si>
    <t>Product name</t>
  </si>
  <si>
    <t>Supplier</t>
  </si>
  <si>
    <t>Picture</t>
  </si>
  <si>
    <t>Current FOB Price</t>
  </si>
  <si>
    <t>Month 1</t>
  </si>
  <si>
    <t>Month 2</t>
  </si>
  <si>
    <t>Comparison</t>
  </si>
  <si>
    <t xml:space="preserve">FOB Price </t>
  </si>
  <si>
    <t>FOB Price Gap</t>
  </si>
  <si>
    <t>RMB Exchange Rate</t>
  </si>
  <si>
    <t>RMB Exchange Rate Gap</t>
  </si>
  <si>
    <t>Cost Breakdown (C.B)</t>
  </si>
  <si>
    <t>Total Price</t>
  </si>
  <si>
    <t>Cost Driver</t>
  </si>
  <si>
    <t>Material Type</t>
  </si>
  <si>
    <t>Material Index Link</t>
  </si>
  <si>
    <t>R.M Evolution</t>
  </si>
  <si>
    <t>Price in C.B</t>
  </si>
  <si>
    <t>% on C.B Total</t>
  </si>
  <si>
    <t>Impact on FOB</t>
  </si>
  <si>
    <t>Product family</t>
  </si>
  <si>
    <t>Cost driver 1</t>
  </si>
  <si>
    <t>Cost driver 2</t>
  </si>
  <si>
    <t>Cost driver 3</t>
  </si>
  <si>
    <t>Cost driver 4</t>
  </si>
  <si>
    <t>Cost driver 5</t>
  </si>
  <si>
    <t>Cost driver 6</t>
  </si>
  <si>
    <t>Cost driver 7</t>
  </si>
  <si>
    <t>Cost driver 8</t>
  </si>
  <si>
    <t>Cost driver 9</t>
  </si>
  <si>
    <t>Cost driver 10</t>
  </si>
  <si>
    <t>AIR  TREATMENT</t>
  </si>
  <si>
    <t>Housing</t>
  </si>
  <si>
    <t>Other Plastic</t>
  </si>
  <si>
    <t>Stainless Steel</t>
  </si>
  <si>
    <t>Aluminium</t>
  </si>
  <si>
    <t>Motor + fan</t>
  </si>
  <si>
    <t>Switch</t>
  </si>
  <si>
    <t>Timer/LCD</t>
  </si>
  <si>
    <t>Power cord</t>
  </si>
  <si>
    <t>Packaging</t>
  </si>
  <si>
    <t>BABY  CARE</t>
  </si>
  <si>
    <t>Heating Element</t>
  </si>
  <si>
    <t>Thermostat</t>
  </si>
  <si>
    <t>BARBECUE</t>
  </si>
  <si>
    <t>BEER  MACHINES</t>
  </si>
  <si>
    <t>Cooling chamber</t>
  </si>
  <si>
    <t>BIKINI  TRIMMERS</t>
  </si>
  <si>
    <t>Battery</t>
  </si>
  <si>
    <t>BLENDERS / LIQUIDIZER</t>
  </si>
  <si>
    <t>BREAD  MAKER</t>
  </si>
  <si>
    <t>CANISTER  VACUUM  CLEANER</t>
  </si>
  <si>
    <t>Tube</t>
  </si>
  <si>
    <t>CHOPPERS / GRINDERS</t>
  </si>
  <si>
    <t>COFFEE  MAKERS  PODS</t>
  </si>
  <si>
    <t>Pump</t>
  </si>
  <si>
    <t>CONVIVIAL  COOKING</t>
  </si>
  <si>
    <t>CORDLESS  CLEANER</t>
  </si>
  <si>
    <t>CORDLESS  STICK  CLEANER</t>
  </si>
  <si>
    <t>CROCODILE  CONTACT  GRILL</t>
  </si>
  <si>
    <t>Coating</t>
  </si>
  <si>
    <t>DRY  IRONS</t>
  </si>
  <si>
    <t>ELECTRIC  FRYER</t>
  </si>
  <si>
    <t>ELECTRIC  TEAMAKER</t>
  </si>
  <si>
    <t>ESPRESSO  MULTI-BEVERAGE</t>
  </si>
  <si>
    <t>ESPRESSOS   STEAM  &amp;  PUMP</t>
  </si>
  <si>
    <t>FANS</t>
  </si>
  <si>
    <t>FILTER  COFFEE  MAKER</t>
  </si>
  <si>
    <t>Carafe</t>
  </si>
  <si>
    <t>FOOD  PROCESSOR</t>
  </si>
  <si>
    <t>GARMENT  STEAMER</t>
  </si>
  <si>
    <t>Steam hose</t>
  </si>
  <si>
    <t>HAIR  CLIPPERS</t>
  </si>
  <si>
    <t>HAIR  DRYERS</t>
  </si>
  <si>
    <t>HANDBLENDERS / STICK  MIXERS</t>
  </si>
  <si>
    <t>HANDMIXERS</t>
  </si>
  <si>
    <t>HEATERS</t>
  </si>
  <si>
    <t>IRONING  BOARDS</t>
  </si>
  <si>
    <t>JUICERS</t>
  </si>
  <si>
    <t>KETTLE</t>
  </si>
  <si>
    <t>KITCHEN  SCALES</t>
  </si>
  <si>
    <t>KNIFES / SLICERS / CAN  OPENER</t>
  </si>
  <si>
    <t>MICROWAVE  OVENS</t>
  </si>
  <si>
    <t>OVENS</t>
  </si>
  <si>
    <t>PIERRADE  &amp;  RACLETTE</t>
  </si>
  <si>
    <t>RICE - COOKER</t>
  </si>
  <si>
    <t>SANDWICH  &amp;  WAFFLE  MAKER</t>
  </si>
  <si>
    <t>STEAM  COOKER</t>
  </si>
  <si>
    <t>STEAM  IRONS</t>
  </si>
  <si>
    <t>STEAM  STATION</t>
  </si>
  <si>
    <t>STYLING  APPLIANCES</t>
  </si>
  <si>
    <t>TOASTERS</t>
  </si>
  <si>
    <t>TRAVEL  IRONS</t>
  </si>
  <si>
    <t>VACUUM  CLEANER  BAGLESS</t>
  </si>
  <si>
    <t>WELL  BEING</t>
  </si>
  <si>
    <t>YOGURT / ICE CREAM / SAUCE / JAM MAKER</t>
  </si>
  <si>
    <t>AIRTEK</t>
  </si>
  <si>
    <t>BONAKA</t>
  </si>
  <si>
    <t>CENTURY</t>
  </si>
  <si>
    <t>CO-WIN</t>
  </si>
  <si>
    <t>DICKSON</t>
  </si>
  <si>
    <t>PRODOO</t>
  </si>
  <si>
    <t>E-ANDE</t>
  </si>
  <si>
    <t>EMPEROR</t>
  </si>
  <si>
    <t>ENTECH</t>
  </si>
  <si>
    <t>ETERNAL</t>
  </si>
  <si>
    <t>FATIA</t>
  </si>
  <si>
    <t>FLYING DRAGON</t>
  </si>
  <si>
    <t>MIDEA</t>
  </si>
  <si>
    <t>GALANZ</t>
  </si>
  <si>
    <t>GEW</t>
  </si>
  <si>
    <t>ELECPRO</t>
  </si>
  <si>
    <t>FUXIN</t>
  </si>
  <si>
    <t>SINCERE HOME</t>
  </si>
  <si>
    <t>HOMEZEST</t>
  </si>
  <si>
    <t>HUBDIC</t>
  </si>
  <si>
    <t>JUNJIA</t>
  </si>
  <si>
    <t>KENFORD</t>
  </si>
  <si>
    <t>KJI</t>
  </si>
  <si>
    <t>KUO JUN</t>
  </si>
  <si>
    <t>LOMAK</t>
  </si>
  <si>
    <t>MAIN POWER</t>
  </si>
  <si>
    <t>MOTOR ELECTRIC</t>
  </si>
  <si>
    <t>NEW LEAF</t>
  </si>
  <si>
    <t>PAYER</t>
  </si>
  <si>
    <t>RIGHT AIM</t>
  </si>
  <si>
    <t>SEMCO</t>
  </si>
  <si>
    <t>CRASTAL</t>
  </si>
  <si>
    <t>SIMATELEX</t>
  </si>
  <si>
    <t>SINCE HARDWARE</t>
  </si>
  <si>
    <t>SOLUX</t>
  </si>
  <si>
    <t>SPECIALIFE</t>
  </si>
  <si>
    <t>SUN LUEN</t>
  </si>
  <si>
    <t>EUP</t>
  </si>
  <si>
    <t>AIRMATE</t>
  </si>
  <si>
    <t>WIK</t>
  </si>
  <si>
    <t>YAHORNG</t>
  </si>
  <si>
    <t>YORKWELL</t>
  </si>
  <si>
    <t>HALLSMART</t>
  </si>
  <si>
    <t>SUPOR</t>
  </si>
  <si>
    <t>YONG AN</t>
  </si>
  <si>
    <t>YIDA</t>
  </si>
  <si>
    <t>VSI</t>
  </si>
  <si>
    <t>UNI SPLENDOR</t>
  </si>
  <si>
    <t>TSANN KUEN</t>
  </si>
  <si>
    <t>SWIFT TONE</t>
  </si>
  <si>
    <t>SUZHOU DELUXE</t>
  </si>
  <si>
    <t>SMARTECH</t>
  </si>
  <si>
    <t>PT MITRA</t>
  </si>
  <si>
    <t>PROTRONICS</t>
  </si>
  <si>
    <t>OXYGEN</t>
  </si>
  <si>
    <t>KWONNIE</t>
  </si>
  <si>
    <t>JOIN ONE</t>
  </si>
  <si>
    <t>JACKPOT</t>
  </si>
  <si>
    <t>HUANHAI</t>
  </si>
  <si>
    <t>HOPSHING</t>
  </si>
  <si>
    <t>HONGYI</t>
  </si>
  <si>
    <t>HEIGER</t>
  </si>
  <si>
    <t>FAIRFORM</t>
  </si>
  <si>
    <t>ELECTECH</t>
  </si>
  <si>
    <t>EASTERN SOURCES</t>
  </si>
  <si>
    <t>E &amp; E</t>
  </si>
  <si>
    <t>DONLIM</t>
  </si>
  <si>
    <t>DCH</t>
  </si>
  <si>
    <t xml:space="preserve">CUORI </t>
  </si>
  <si>
    <t>CHANG SHENG</t>
  </si>
  <si>
    <t>BLUE ELECTRO</t>
  </si>
  <si>
    <t>ARTFAIR</t>
  </si>
  <si>
    <t>ALLAN &amp; KAREN</t>
  </si>
  <si>
    <t>BEVERAGE</t>
  </si>
  <si>
    <t>SSM</t>
  </si>
  <si>
    <t>SSM Team</t>
  </si>
  <si>
    <t>FOOD_PREPARATION</t>
  </si>
  <si>
    <t>HOME_CLEANING</t>
  </si>
  <si>
    <t>LINEN_CARE</t>
  </si>
  <si>
    <t>PERSONAL_CARE</t>
  </si>
  <si>
    <t>HOME_COMFORT</t>
  </si>
  <si>
    <t>JOEY_LEUNG</t>
  </si>
  <si>
    <t>METTEW_YAN</t>
  </si>
  <si>
    <t>ELECTRICAL_COOKING</t>
  </si>
  <si>
    <t>By :</t>
  </si>
  <si>
    <t>TOTAL</t>
  </si>
  <si>
    <t>Internal wire</t>
  </si>
  <si>
    <t>R.M Contribution</t>
  </si>
  <si>
    <t>Coils 202(2B) 1,2mm</t>
    <phoneticPr fontId="11" type="noConversion"/>
  </si>
  <si>
    <t xml:space="preserve">Coils 304(2B) 1,2mm </t>
    <phoneticPr fontId="11" type="noConversion"/>
  </si>
  <si>
    <t>COOKWARE</t>
  </si>
  <si>
    <t>EDELWEISS_LAI</t>
  </si>
  <si>
    <t>LINKFAIR</t>
  </si>
  <si>
    <t>ASD</t>
  </si>
  <si>
    <t>CHINA WISDOM</t>
  </si>
  <si>
    <t>CHUNG MEI</t>
  </si>
  <si>
    <t>EASYNET</t>
  </si>
  <si>
    <t>FOB</t>
  </si>
  <si>
    <t>FUTIAN</t>
  </si>
  <si>
    <t>GOOD THINGS</t>
  </si>
  <si>
    <t>HIFACER</t>
  </si>
  <si>
    <t>IBL</t>
  </si>
  <si>
    <t>KEEN HING</t>
  </si>
  <si>
    <t>LIVINGS INSPIRATION</t>
  </si>
  <si>
    <t>MINGLE</t>
  </si>
  <si>
    <t>WINNINGTON</t>
  </si>
  <si>
    <t>SANBO</t>
  </si>
  <si>
    <t>Plastic 1</t>
  </si>
  <si>
    <t>Plastic 2</t>
  </si>
  <si>
    <t>Plastic 3</t>
  </si>
  <si>
    <t>Metal 1</t>
  </si>
  <si>
    <t>Metal 2</t>
  </si>
  <si>
    <t>Metal 3</t>
  </si>
  <si>
    <t>Painting</t>
  </si>
  <si>
    <t>Strix/Otter Thermostat</t>
    <phoneticPr fontId="11" type="noConversion"/>
  </si>
  <si>
    <t>PCB-A</t>
  </si>
  <si>
    <t>PCB-A</t>
    <phoneticPr fontId="11" type="noConversion"/>
  </si>
  <si>
    <t>PCB-A</t>
    <phoneticPr fontId="11" type="noConversion"/>
  </si>
  <si>
    <t>Aluminium</t>
    <phoneticPr fontId="11" type="noConversion"/>
  </si>
  <si>
    <t>Metal</t>
    <phoneticPr fontId="11" type="noConversion"/>
  </si>
  <si>
    <t>Motor</t>
    <phoneticPr fontId="11" type="noConversion"/>
  </si>
  <si>
    <r>
      <t>Monthly AVG of all Main North West China city=&gt; "</t>
    </r>
    <r>
      <rPr>
        <sz val="10"/>
        <rFont val="NSimSun"/>
        <family val="3"/>
        <charset val="134"/>
      </rPr>
      <t>全国主要地区铸造生铁价格一周汇总</t>
    </r>
    <r>
      <rPr>
        <sz val="10"/>
        <rFont val="Tahoma"/>
        <family val="2"/>
      </rPr>
      <t xml:space="preserve"> " </t>
    </r>
    <phoneticPr fontId="11" type="noConversion"/>
  </si>
  <si>
    <r>
      <t xml:space="preserve">need login =&gt; </t>
    </r>
    <r>
      <rPr>
        <sz val="10"/>
        <rFont val="NSimSun"/>
        <family val="3"/>
        <charset val="134"/>
      </rPr>
      <t>曲线走势图：</t>
    </r>
    <r>
      <rPr>
        <sz val="10"/>
        <rFont val="Tahoma"/>
        <family val="2"/>
      </rPr>
      <t>=&gt;</t>
    </r>
    <r>
      <rPr>
        <sz val="10"/>
        <rFont val="NSimSun"/>
        <family val="3"/>
        <charset val="134"/>
      </rPr>
      <t>国内板材价格走势</t>
    </r>
    <phoneticPr fontId="11" type="noConversion"/>
  </si>
  <si>
    <t xml:space="preserve">Coils 304(2B) 0,8mm </t>
    <phoneticPr fontId="11" type="noConversion"/>
  </si>
  <si>
    <t>Metal - SS 304 0,5mm - CN (RMB/T)</t>
    <phoneticPr fontId="11" type="noConversion"/>
  </si>
  <si>
    <t>Metal - SS 304 0,8mm - CN (RMB/T)</t>
    <phoneticPr fontId="11" type="noConversion"/>
  </si>
  <si>
    <t>Alibaba</t>
    <phoneticPr fontId="11" type="noConversion"/>
  </si>
  <si>
    <t>PF</t>
    <phoneticPr fontId="11" type="noConversion"/>
  </si>
  <si>
    <t>China</t>
    <phoneticPr fontId="11" type="noConversion"/>
  </si>
  <si>
    <t>RMB/MT</t>
    <phoneticPr fontId="11" type="noConversion"/>
  </si>
  <si>
    <t>Plastic - PF - CN (USD/T)</t>
    <phoneticPr fontId="11" type="noConversion"/>
  </si>
  <si>
    <t>模具鋼網</t>
    <phoneticPr fontId="11" type="noConversion"/>
  </si>
  <si>
    <t>http://46674.mojugang.org/qg.html</t>
    <phoneticPr fontId="11" type="noConversion"/>
  </si>
  <si>
    <t>http://www.hxsteel.cn/list/tsteel/list_2_0_0_1.html</t>
    <phoneticPr fontId="11" type="noConversion"/>
  </si>
  <si>
    <r>
      <t>网站首页</t>
    </r>
    <r>
      <rPr>
        <sz val="9"/>
        <color theme="1"/>
        <rFont val="Calibri"/>
        <family val="2"/>
        <scheme val="minor"/>
      </rPr>
      <t xml:space="preserve"> &gt; </t>
    </r>
    <r>
      <rPr>
        <sz val="9"/>
        <color rgb="FF000000"/>
        <rFont val="Calibri"/>
        <family val="2"/>
        <scheme val="minor"/>
      </rPr>
      <t>特钢频道</t>
    </r>
    <r>
      <rPr>
        <sz val="9"/>
        <color theme="1"/>
        <rFont val="Calibri"/>
        <family val="2"/>
        <scheme val="minor"/>
      </rPr>
      <t xml:space="preserve"> &gt; </t>
    </r>
    <r>
      <rPr>
        <sz val="9"/>
        <color rgb="FF000000"/>
        <rFont val="Calibri"/>
        <family val="2"/>
        <scheme val="minor"/>
      </rPr>
      <t>特钢行情汇总</t>
    </r>
  </si>
  <si>
    <t>Metal</t>
    <phoneticPr fontId="11" type="noConversion"/>
  </si>
  <si>
    <t>ADC12</t>
    <phoneticPr fontId="11" type="noConversion"/>
  </si>
  <si>
    <t>SMM</t>
    <phoneticPr fontId="11" type="noConversion"/>
  </si>
  <si>
    <r>
      <rPr>
        <sz val="10"/>
        <rFont val="NSimSun"/>
        <family val="3"/>
        <charset val="134"/>
      </rPr>
      <t>价格行程</t>
    </r>
    <r>
      <rPr>
        <sz val="10"/>
        <rFont val="Tahoma"/>
        <family val="2"/>
      </rPr>
      <t>=</t>
    </r>
    <r>
      <rPr>
        <sz val="10"/>
        <rFont val="NSimSun"/>
        <family val="3"/>
        <charset val="134"/>
      </rPr>
      <t>〉合金产品</t>
    </r>
    <phoneticPr fontId="11" type="noConversion"/>
  </si>
  <si>
    <t>Metal - ADC12 - CN (RMB/T)</t>
    <phoneticPr fontId="11" type="noConversion"/>
  </si>
  <si>
    <t>Metalnews.cn</t>
    <phoneticPr fontId="11" type="noConversion"/>
  </si>
  <si>
    <r>
      <t xml:space="preserve">Silicone steel </t>
    </r>
    <r>
      <rPr>
        <sz val="10"/>
        <rFont val="NSimSun"/>
        <family val="3"/>
        <charset val="134"/>
      </rPr>
      <t>硅钢</t>
    </r>
    <phoneticPr fontId="11" type="noConversion"/>
  </si>
  <si>
    <t>Metal</t>
    <phoneticPr fontId="11" type="noConversion"/>
  </si>
  <si>
    <t>China</t>
    <phoneticPr fontId="11" type="noConversion"/>
  </si>
  <si>
    <t>RMB/MT</t>
    <phoneticPr fontId="11" type="noConversion"/>
  </si>
  <si>
    <t>Metal - Silicone Steel - CN (RMB/T)</t>
    <phoneticPr fontId="11" type="noConversion"/>
  </si>
  <si>
    <t>中國金屬新聞網</t>
    <phoneticPr fontId="11" type="noConversion"/>
  </si>
  <si>
    <t>Metalnews.cn</t>
    <phoneticPr fontId="11" type="noConversion"/>
  </si>
  <si>
    <t>http://www.metalnews.cn</t>
    <phoneticPr fontId="11" type="noConversion"/>
  </si>
  <si>
    <r>
      <rPr>
        <sz val="10"/>
        <rFont val="NSimSun"/>
        <family val="3"/>
        <charset val="134"/>
      </rPr>
      <t>钢</t>
    </r>
    <r>
      <rPr>
        <sz val="10"/>
        <rFont val="Tahoma"/>
        <family val="2"/>
      </rPr>
      <t xml:space="preserve"> </t>
    </r>
    <r>
      <rPr>
        <sz val="10"/>
        <rFont val="NSimSun"/>
        <family val="3"/>
        <charset val="134"/>
      </rPr>
      <t>铁</t>
    </r>
    <r>
      <rPr>
        <sz val="10"/>
        <rFont val="Tahoma"/>
        <family val="2"/>
      </rPr>
      <t xml:space="preserve"> =&gt; </t>
    </r>
    <r>
      <rPr>
        <sz val="10"/>
        <rFont val="NSimSun"/>
        <family val="3"/>
        <charset val="134"/>
      </rPr>
      <t>硅钢</t>
    </r>
    <r>
      <rPr>
        <sz val="10"/>
        <rFont val="Tahoma"/>
        <family val="2"/>
      </rPr>
      <t xml:space="preserve"> =&gt; </t>
    </r>
    <r>
      <rPr>
        <sz val="10"/>
        <rFont val="NSimSun"/>
        <family val="3"/>
        <charset val="134"/>
      </rPr>
      <t>硅钢价格汇总</t>
    </r>
    <r>
      <rPr>
        <sz val="10"/>
        <rFont val="Tahoma"/>
        <family val="2"/>
      </rPr>
      <t xml:space="preserve"> =&gt; </t>
    </r>
    <r>
      <rPr>
        <sz val="10"/>
        <rFont val="NSimSun"/>
        <family val="3"/>
        <charset val="134"/>
      </rPr>
      <t>无取向硅钢</t>
    </r>
    <r>
      <rPr>
        <sz val="10"/>
        <rFont val="Tahoma"/>
        <family val="2"/>
      </rPr>
      <t xml:space="preserve"> =&gt; 1st and 30th each month and AVG of China </t>
    </r>
    <r>
      <rPr>
        <sz val="10"/>
        <rFont val="NSimSun"/>
        <family val="3"/>
        <charset val="134"/>
      </rPr>
      <t>宝钢</t>
    </r>
    <r>
      <rPr>
        <sz val="10"/>
        <rFont val="Tahoma"/>
        <family val="2"/>
      </rPr>
      <t xml:space="preserve"> in different area.</t>
    </r>
    <phoneticPr fontId="11" type="noConversion"/>
  </si>
  <si>
    <r>
      <rPr>
        <sz val="10"/>
        <rFont val="NSimSun"/>
        <family val="3"/>
        <charset val="134"/>
      </rPr>
      <t>首页</t>
    </r>
    <r>
      <rPr>
        <sz val="10"/>
        <rFont val="Tahoma"/>
        <family val="2"/>
      </rPr>
      <t xml:space="preserve"> &gt; </t>
    </r>
    <r>
      <rPr>
        <sz val="10"/>
        <rFont val="NSimSun"/>
        <family val="3"/>
        <charset val="134"/>
      </rPr>
      <t>资讯</t>
    </r>
    <r>
      <rPr>
        <sz val="10"/>
        <rFont val="Tahoma"/>
        <family val="2"/>
      </rPr>
      <t xml:space="preserve"> &gt; </t>
    </r>
    <r>
      <rPr>
        <sz val="10"/>
        <rFont val="NSimSun"/>
        <family val="3"/>
        <charset val="134"/>
      </rPr>
      <t>废料</t>
    </r>
    <r>
      <rPr>
        <sz val="10"/>
        <rFont val="Tahoma"/>
        <family val="2"/>
      </rPr>
      <t xml:space="preserve"> &gt; </t>
    </r>
    <r>
      <rPr>
        <sz val="10"/>
        <rFont val="NSimSun"/>
        <family val="3"/>
        <charset val="134"/>
      </rPr>
      <t>行情</t>
    </r>
    <r>
      <rPr>
        <sz val="10"/>
        <rFont val="Tahoma"/>
        <family val="2"/>
      </rPr>
      <t xml:space="preserve"> &gt; 201 &gt; </t>
    </r>
    <r>
      <rPr>
        <sz val="10"/>
        <rFont val="NSimSun"/>
        <family val="3"/>
        <charset val="134"/>
      </rPr>
      <t>国内部分地区不锈钢废料</t>
    </r>
    <r>
      <rPr>
        <sz val="10"/>
        <rFont val="Tahoma"/>
        <family val="2"/>
      </rPr>
      <t>201</t>
    </r>
    <r>
      <rPr>
        <sz val="10"/>
        <rFont val="NSimSun"/>
        <family val="3"/>
        <charset val="134"/>
      </rPr>
      <t>回炉料价格汇总</t>
    </r>
    <phoneticPr fontId="11" type="noConversion"/>
  </si>
  <si>
    <t>Metal - Scrap SUS201 - CN (RMB/T)</t>
    <phoneticPr fontId="11" type="noConversion"/>
  </si>
  <si>
    <t xml:space="preserve">Scrap SUS 201 </t>
    <phoneticPr fontId="11" type="noConversion"/>
  </si>
  <si>
    <t>Metal - Scrap SUS304 - CN (RMB/T)</t>
    <phoneticPr fontId="11" type="noConversion"/>
  </si>
  <si>
    <t>fghestem</t>
    <phoneticPr fontId="11" type="noConversion"/>
  </si>
  <si>
    <t>http://lil93nt/en/jobs/purchasing/common_data/Material_rates/NON%20FERROUS%20ALUMINUM-</t>
    <phoneticPr fontId="11" type="noConversion"/>
  </si>
  <si>
    <t>http://lil93nt/en/jobs/purchasing/common_data/Material_rates/NON%20FERROUS%20ALUMINUM-COPPER-NICKEL-SILVER.xlsm</t>
    <phoneticPr fontId="11" type="noConversion"/>
  </si>
  <si>
    <t>Column G (ALUMINUM Alloy Cash-Europe America (LME)   USD/MT)</t>
    <phoneticPr fontId="11" type="noConversion"/>
  </si>
  <si>
    <t>Column H (COPPER Cash-Europe America (LME)    USD/MT)</t>
    <phoneticPr fontId="11" type="noConversion"/>
  </si>
  <si>
    <t>Column J 
(NICKEL Cash-Europe America (LME)  USD/MT)</t>
    <phoneticPr fontId="11" type="noConversion"/>
  </si>
  <si>
    <t>Column L 
(SILVER London-Europe America (LME) USD/troy oz.)</t>
    <phoneticPr fontId="11" type="noConversion"/>
  </si>
  <si>
    <t>"Data" - Column AJ
(AUSTENITIC 304 AVERAGE EUROPE $/T (TDS) - 1,2mm )</t>
    <phoneticPr fontId="11" type="noConversion"/>
  </si>
  <si>
    <t>http://lil93nt/en/jobs/purchasing/common_data/Material_rates/Mat_Followup_StainlessSteel_EN.xlsx</t>
    <phoneticPr fontId="11" type="noConversion"/>
  </si>
  <si>
    <t>"Data" - Column AL
(Full price 430 BA 1,2 mm average Europe ($/T)  - TDS )</t>
    <phoneticPr fontId="11" type="noConversion"/>
  </si>
  <si>
    <t>Column D - monthly AVG (Polystyrene Contract Europe HIPS France)</t>
    <phoneticPr fontId="11" type="noConversion"/>
  </si>
  <si>
    <t>http://www.oanda.com/convert/fxhistory</t>
    <phoneticPr fontId="11" type="noConversion"/>
  </si>
  <si>
    <t>http://www.shfe.com.cn/Ehome/index.jsp</t>
    <phoneticPr fontId="11" type="noConversion"/>
  </si>
  <si>
    <t>http://www.smm.cn/Price/PriceToday.aspx</t>
    <phoneticPr fontId="11" type="noConversion"/>
  </si>
  <si>
    <t>http://info.china.alibaba.com/news/subject/v6-s5008352.html</t>
    <phoneticPr fontId="11" type="noConversion"/>
  </si>
  <si>
    <t>http://lil93nt/en/jobs/purchasing/common_data/Material_rates/Mat_Followup_Polystyrene_EN.xls</t>
    <phoneticPr fontId="11" type="noConversion"/>
  </si>
  <si>
    <t>http://lil93nt/en/jobs/purchasing/common_data/Material_rates/SuiviIndicespapier_FR.xls</t>
    <phoneticPr fontId="11" type="noConversion"/>
  </si>
  <si>
    <t>http://www.shfe.com.cn/estatements/secondpage.jsp?subjectpid=905&amp;subjectid=9054&amp;startpage=1#####</t>
    <phoneticPr fontId="11" type="noConversion"/>
  </si>
  <si>
    <t>E-mail from Samsung and Market Buyer</t>
    <phoneticPr fontId="11" type="noConversion"/>
  </si>
  <si>
    <t>SEB Componenet team</t>
    <phoneticPr fontId="11" type="noConversion"/>
  </si>
  <si>
    <t>from Jason (New Leaf)</t>
    <phoneticPr fontId="11" type="noConversion"/>
  </si>
  <si>
    <t>http://www.metalnews.cn/gt/list-600-1.html</t>
    <phoneticPr fontId="11" type="noConversion"/>
  </si>
  <si>
    <t>Column AM - monthly AVG (Polypropylene Asia Pacific HOMO (China main port) S.E. Asia USD/MT)</t>
    <phoneticPr fontId="11" type="noConversion"/>
  </si>
  <si>
    <t>Europe</t>
    <phoneticPr fontId="11" type="noConversion"/>
  </si>
  <si>
    <t>EUR/MT</t>
    <phoneticPr fontId="11" type="noConversion"/>
  </si>
  <si>
    <t>Plastic - PP Homo - EU (EUR/T)</t>
    <phoneticPr fontId="11" type="noConversion"/>
  </si>
  <si>
    <t>Plastic - PP Homo - EU (USD/T)</t>
    <phoneticPr fontId="11" type="noConversion"/>
  </si>
  <si>
    <t>x Exchange rate RMB/USD</t>
    <phoneticPr fontId="11" type="noConversion"/>
  </si>
  <si>
    <t>x Exchange rate EUR/USD</t>
    <phoneticPr fontId="11" type="noConversion"/>
  </si>
  <si>
    <t>USD/MT</t>
    <phoneticPr fontId="11" type="noConversion"/>
  </si>
  <si>
    <t>Column O - monthly AVG (Polypropylene Contrat Europe HOMO France )</t>
    <phoneticPr fontId="11" type="noConversion"/>
  </si>
  <si>
    <t>Scrap SUS 304</t>
    <phoneticPr fontId="11" type="noConversion"/>
  </si>
  <si>
    <t>首页 &gt; 资讯 &gt; 废料 &gt; 行情 &gt; 304 &gt; (每月最後一日) 的 "国内部分地区不锈钢废料304回炉料价格汇总"</t>
    <phoneticPr fontId="11" type="noConversion"/>
  </si>
  <si>
    <r>
      <rPr>
        <sz val="10"/>
        <rFont val="NSimSun"/>
        <family val="3"/>
        <charset val="134"/>
      </rPr>
      <t>首页</t>
    </r>
    <r>
      <rPr>
        <sz val="10"/>
        <rFont val="Tahoma"/>
        <family val="2"/>
      </rPr>
      <t xml:space="preserve"> &gt; </t>
    </r>
    <r>
      <rPr>
        <sz val="10"/>
        <rFont val="NSimSun"/>
        <family val="3"/>
        <charset val="134"/>
      </rPr>
      <t>资讯</t>
    </r>
    <r>
      <rPr>
        <sz val="10"/>
        <rFont val="Tahoma"/>
        <family val="2"/>
      </rPr>
      <t xml:space="preserve"> &gt; PF</t>
    </r>
    <r>
      <rPr>
        <sz val="10"/>
        <rFont val="NSimSun"/>
        <family val="3"/>
        <charset val="134"/>
      </rPr>
      <t>塑料</t>
    </r>
    <r>
      <rPr>
        <sz val="10"/>
        <rFont val="Tahoma"/>
        <family val="2"/>
      </rPr>
      <t xml:space="preserve"> -&gt; take the </t>
    </r>
    <r>
      <rPr>
        <sz val="10"/>
        <rFont val="NSimSun"/>
        <family val="3"/>
        <charset val="134"/>
      </rPr>
      <t>余姚塑料市场</t>
    </r>
    <r>
      <rPr>
        <sz val="10"/>
        <rFont val="Tahoma"/>
        <family val="2"/>
      </rPr>
      <t xml:space="preserve"> price on Monday every month.  Sum 3 material and get the average</t>
    </r>
    <phoneticPr fontId="11" type="noConversion"/>
  </si>
  <si>
    <t>Column M - monthly AVG (Spot Phénol SE Asia USD (China main port))</t>
    <phoneticPr fontId="11" type="noConversion"/>
  </si>
  <si>
    <t xml:space="preserve">Coils 304(2B) 0,5mm </t>
    <phoneticPr fontId="11" type="noConversion"/>
  </si>
  <si>
    <t>Data =&gt; Monthly prices (Cu) =&gt; (High+Low)/2</t>
    <phoneticPr fontId="11" type="noConversion"/>
  </si>
  <si>
    <t>http://www.oanda.com/convert/fxhistory</t>
    <phoneticPr fontId="11" type="noConversion"/>
  </si>
  <si>
    <t>http://www.nhh.com.hk</t>
    <phoneticPr fontId="11" type="noConversion"/>
  </si>
  <si>
    <t>http://search.china.alibaba.com/search/news_search.htm?keywords=PF%CB%DC%C1%CF</t>
    <phoneticPr fontId="11" type="noConversion"/>
  </si>
  <si>
    <t>Our business -&gt; plastic resins -&gt; price trend -&gt; need login (monthly average of the whole industry)</t>
  </si>
  <si>
    <r>
      <t>·</t>
    </r>
    <r>
      <rPr>
        <sz val="7"/>
        <color rgb="FF1F497D"/>
        <rFont val="Times New Roman"/>
        <family val="1"/>
      </rPr>
      <t xml:space="preserve">         </t>
    </r>
    <r>
      <rPr>
        <sz val="11"/>
        <color rgb="FF1F497D"/>
        <rFont val="Calibri"/>
        <family val="2"/>
      </rPr>
      <t xml:space="preserve">PP HJ730 nat </t>
    </r>
    <r>
      <rPr>
        <b/>
        <sz val="11"/>
        <color rgb="FF1F497D"/>
        <rFont val="Calibri"/>
        <family val="2"/>
      </rPr>
      <t>= $1251 /Mton ( 2 FCL minimum by shipment)</t>
    </r>
  </si>
  <si>
    <r>
      <t>·</t>
    </r>
    <r>
      <rPr>
        <sz val="7"/>
        <color rgb="FF1F497D"/>
        <rFont val="Times New Roman"/>
        <family val="1"/>
      </rPr>
      <t xml:space="preserve">         </t>
    </r>
    <r>
      <rPr>
        <sz val="11"/>
        <color rgb="FF1F497D"/>
        <rFont val="Calibri"/>
        <family val="2"/>
      </rPr>
      <t>PP HJ730L</t>
    </r>
    <r>
      <rPr>
        <b/>
        <sz val="11"/>
        <color rgb="FF1F497D"/>
        <rFont val="Calibri"/>
        <family val="2"/>
      </rPr>
      <t xml:space="preserve"> =$1256 /Mton</t>
    </r>
  </si>
  <si>
    <r>
      <t>·</t>
    </r>
    <r>
      <rPr>
        <sz val="7"/>
        <color rgb="FF1F497D"/>
        <rFont val="Times New Roman"/>
        <family val="1"/>
      </rPr>
      <t xml:space="preserve">         </t>
    </r>
    <r>
      <rPr>
        <sz val="11"/>
        <color rgb="FF1F497D"/>
        <rFont val="Calibri"/>
        <family val="2"/>
      </rPr>
      <t xml:space="preserve">PP HJ400 nat </t>
    </r>
    <r>
      <rPr>
        <b/>
        <sz val="11"/>
        <color rgb="FF1F497D"/>
        <rFont val="Calibri"/>
        <family val="2"/>
      </rPr>
      <t>= $1211 /Mton</t>
    </r>
  </si>
  <si>
    <t>P. CHIU</t>
  </si>
  <si>
    <t>Column E (sheet"NONFERROUSDATA") (ALUMINUM HG Cash-Europe America (LME) USD/MT)</t>
  </si>
  <si>
    <t>(except SS prices, HK Plastic prices, paper prices)</t>
  </si>
  <si>
    <t>http://intracom/en/jobs/purchasing/common_data/Material_rates/NON%20FERROUS%20ALUMINUM-COPPER-NICKEL-SILVER.xlsm</t>
  </si>
  <si>
    <t>Alu ingot</t>
  </si>
  <si>
    <t>Copper</t>
  </si>
  <si>
    <t xml:space="preserve">Coils 304(2B) 1,2mm </t>
  </si>
  <si>
    <t>SFE</t>
  </si>
  <si>
    <t>BXGTD</t>
  </si>
  <si>
    <t>x Exchange rate RMB/USD</t>
  </si>
  <si>
    <t>Column AM - monthly AVG (Polypropylene Asia Pacific HOMO (China main port) S.E. Asia USD/MT)</t>
  </si>
  <si>
    <t>Shanghai</t>
  </si>
  <si>
    <t>China</t>
  </si>
  <si>
    <t>Metal - Alu ingot - CN (USD/T)</t>
  </si>
  <si>
    <t>Base 100 - USD/RMBAlu Ingot</t>
  </si>
  <si>
    <t>Base 100 - Copper</t>
  </si>
  <si>
    <t>Base 100 - PP Homo</t>
  </si>
  <si>
    <t>Base 100 - Coils</t>
  </si>
  <si>
    <t>Base 100 - RMB/USD</t>
  </si>
  <si>
    <t>Base 100 - API</t>
  </si>
  <si>
    <t>API vs Last Dec</t>
  </si>
  <si>
    <t>API N/N-1</t>
  </si>
  <si>
    <t>API Actual N vs STD N</t>
  </si>
</sst>
</file>

<file path=xl/styles.xml><?xml version="1.0" encoding="utf-8"?>
<styleSheet xmlns="http://schemas.openxmlformats.org/spreadsheetml/2006/main">
  <numFmts count="9">
    <numFmt numFmtId="43" formatCode="_(* #,##0.00_);_(* \(#,##0.00\);_(* &quot;-&quot;??_);_(@_)"/>
    <numFmt numFmtId="164" formatCode="_-* #,##0.00_-;\-* #,##0.00_-;_-* &quot;-&quot;??_-;_-@_-"/>
    <numFmt numFmtId="165" formatCode="0.0000"/>
    <numFmt numFmtId="166" formatCode="[$-409]d\-mmm\-yy;@"/>
    <numFmt numFmtId="167" formatCode="0.0%"/>
    <numFmt numFmtId="168" formatCode="0;_砀"/>
    <numFmt numFmtId="169" formatCode="&quot;$&quot;#,##0.00"/>
    <numFmt numFmtId="170" formatCode="0.000"/>
    <numFmt numFmtId="171" formatCode="[$-409]mmm\-yy;@"/>
  </numFmts>
  <fonts count="55">
    <font>
      <sz val="11"/>
      <color theme="1"/>
      <name val="Calibri"/>
      <family val="2"/>
      <charset val="134"/>
      <scheme val="minor"/>
    </font>
    <font>
      <sz val="11"/>
      <color theme="1"/>
      <name val="Arial"/>
      <family val="2"/>
    </font>
    <font>
      <sz val="10"/>
      <color theme="1"/>
      <name val="Tahoma"/>
      <family val="2"/>
    </font>
    <font>
      <sz val="10"/>
      <color theme="1"/>
      <name val="Tahoma"/>
      <family val="2"/>
    </font>
    <font>
      <sz val="11"/>
      <color theme="1"/>
      <name val="Calibri"/>
      <family val="2"/>
      <charset val="134"/>
      <scheme val="minor"/>
    </font>
    <font>
      <b/>
      <sz val="8"/>
      <color indexed="81"/>
      <name val="Tahoma"/>
      <family val="2"/>
    </font>
    <font>
      <sz val="8"/>
      <color indexed="81"/>
      <name val="Tahoma"/>
      <family val="2"/>
    </font>
    <font>
      <u/>
      <sz val="11"/>
      <color theme="10"/>
      <name val="宋体"/>
      <family val="3"/>
      <charset val="134"/>
    </font>
    <font>
      <sz val="11"/>
      <color theme="1"/>
      <name val="Tahoma"/>
      <family val="2"/>
    </font>
    <font>
      <sz val="10"/>
      <name val="Tahoma"/>
      <family val="2"/>
    </font>
    <font>
      <u/>
      <sz val="11"/>
      <color theme="10"/>
      <name val="Tahoma"/>
      <family val="2"/>
    </font>
    <font>
      <sz val="9"/>
      <name val="Calibri"/>
      <family val="2"/>
      <charset val="134"/>
      <scheme val="minor"/>
    </font>
    <font>
      <b/>
      <sz val="11"/>
      <color theme="1"/>
      <name val="Calibri"/>
      <family val="2"/>
      <charset val="134"/>
      <scheme val="minor"/>
    </font>
    <font>
      <b/>
      <sz val="11"/>
      <color theme="1"/>
      <name val="Tahoma"/>
      <family val="2"/>
    </font>
    <font>
      <b/>
      <sz val="10"/>
      <color theme="1"/>
      <name val="Tahoma"/>
      <family val="2"/>
    </font>
    <font>
      <sz val="14"/>
      <color theme="1"/>
      <name val="Tahoma"/>
      <family val="2"/>
    </font>
    <font>
      <b/>
      <sz val="18"/>
      <color theme="1"/>
      <name val="Tahoma"/>
      <family val="2"/>
    </font>
    <font>
      <b/>
      <sz val="14"/>
      <color theme="1"/>
      <name val="Tahoma"/>
      <family val="2"/>
    </font>
    <font>
      <sz val="10"/>
      <name val="NSimSun"/>
      <family val="3"/>
      <charset val="134"/>
    </font>
    <font>
      <sz val="11"/>
      <color theme="1"/>
      <name val="Arial"/>
      <family val="2"/>
    </font>
    <font>
      <u/>
      <sz val="11"/>
      <color theme="10"/>
      <name val="Arial"/>
      <family val="2"/>
    </font>
    <font>
      <sz val="11"/>
      <color theme="1"/>
      <name val="宋体"/>
      <family val="2"/>
      <charset val="134"/>
    </font>
    <font>
      <b/>
      <sz val="11"/>
      <color theme="1"/>
      <name val="Arial"/>
      <family val="2"/>
    </font>
    <font>
      <sz val="11"/>
      <color theme="1"/>
      <name val="NSimSun"/>
      <family val="3"/>
      <charset val="134"/>
    </font>
    <font>
      <sz val="8"/>
      <color indexed="81"/>
      <name val="NSimSun"/>
      <family val="3"/>
      <charset val="134"/>
    </font>
    <font>
      <b/>
      <sz val="10"/>
      <name val="Tahoma"/>
      <family val="2"/>
    </font>
    <font>
      <sz val="11"/>
      <color indexed="8"/>
      <name val="Arial"/>
      <family val="2"/>
    </font>
    <font>
      <sz val="9"/>
      <name val="宋体"/>
    </font>
    <font>
      <sz val="9"/>
      <name val="Arial"/>
      <family val="2"/>
      <charset val="134"/>
    </font>
    <font>
      <sz val="10"/>
      <color theme="1"/>
      <name val="Arial"/>
      <family val="2"/>
    </font>
    <font>
      <sz val="10"/>
      <color theme="4" tint="-0.249977111117893"/>
      <name val="Tahoma"/>
      <family val="2"/>
    </font>
    <font>
      <b/>
      <sz val="26"/>
      <color theme="1" tint="0.499984740745262"/>
      <name val="Tahoma"/>
      <family val="2"/>
    </font>
    <font>
      <b/>
      <sz val="16"/>
      <color theme="4" tint="-0.249977111117893"/>
      <name val="Tahoma"/>
      <family val="2"/>
    </font>
    <font>
      <b/>
      <sz val="10"/>
      <color theme="1" tint="0.499984740745262"/>
      <name val="Tahoma"/>
      <family val="2"/>
    </font>
    <font>
      <sz val="10"/>
      <name val="MS Sans Serif"/>
      <family val="2"/>
    </font>
    <font>
      <b/>
      <sz val="10"/>
      <color theme="4" tint="-0.249977111117893"/>
      <name val="Tahoma"/>
      <family val="2"/>
    </font>
    <font>
      <b/>
      <sz val="9.5"/>
      <color theme="4" tint="-0.249977111117893"/>
      <name val="Tahoma"/>
      <family val="2"/>
    </font>
    <font>
      <b/>
      <sz val="12"/>
      <color theme="4" tint="-0.249977111117893"/>
      <name val="Tahoma"/>
      <family val="2"/>
    </font>
    <font>
      <sz val="12"/>
      <color theme="4" tint="-0.249977111117893"/>
      <name val="Tahoma"/>
      <family val="2"/>
    </font>
    <font>
      <sz val="10"/>
      <name val="Arial"/>
      <family val="2"/>
    </font>
    <font>
      <b/>
      <sz val="10"/>
      <name val="Arial"/>
      <family val="2"/>
    </font>
    <font>
      <sz val="11"/>
      <color theme="1"/>
      <name val="Calibri"/>
      <family val="2"/>
      <scheme val="minor"/>
    </font>
    <font>
      <sz val="11"/>
      <color theme="4" tint="-0.249977111117893"/>
      <name val="Tahoma"/>
      <family val="2"/>
    </font>
    <font>
      <b/>
      <sz val="12"/>
      <color theme="1"/>
      <name val="Tahoma"/>
      <family val="2"/>
    </font>
    <font>
      <sz val="10.5"/>
      <color rgb="FF000000"/>
      <name val="SimSun"/>
      <family val="3"/>
      <charset val="134"/>
    </font>
    <font>
      <sz val="9"/>
      <color theme="1"/>
      <name val="Calibri"/>
      <family val="2"/>
      <scheme val="minor"/>
    </font>
    <font>
      <sz val="9"/>
      <color rgb="FF000000"/>
      <name val="Calibri"/>
      <family val="2"/>
      <scheme val="minor"/>
    </font>
    <font>
      <sz val="14"/>
      <color indexed="81"/>
      <name val="Tahoma"/>
      <family val="2"/>
    </font>
    <font>
      <sz val="14"/>
      <color indexed="81"/>
      <name val="NSimSun"/>
      <family val="3"/>
      <charset val="134"/>
    </font>
    <font>
      <sz val="12"/>
      <color indexed="81"/>
      <name val="Tahoma"/>
      <family val="2"/>
    </font>
    <font>
      <sz val="11"/>
      <color rgb="FF1F497D"/>
      <name val="Symbol"/>
      <family val="1"/>
      <charset val="2"/>
    </font>
    <font>
      <sz val="7"/>
      <color rgb="FF1F497D"/>
      <name val="Times New Roman"/>
      <family val="1"/>
    </font>
    <font>
      <sz val="11"/>
      <color rgb="FF1F497D"/>
      <name val="Calibri"/>
      <family val="2"/>
    </font>
    <font>
      <b/>
      <sz val="11"/>
      <color rgb="FF1F497D"/>
      <name val="Calibri"/>
      <family val="2"/>
    </font>
    <font>
      <sz val="10"/>
      <color theme="1"/>
      <name val="Verdana"/>
      <family val="2"/>
    </font>
  </fonts>
  <fills count="15">
    <fill>
      <patternFill patternType="none"/>
    </fill>
    <fill>
      <patternFill patternType="gray125"/>
    </fill>
    <fill>
      <patternFill patternType="solid">
        <fgColor theme="0"/>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rgb="FFF6FBB5"/>
        <bgColor indexed="64"/>
      </patternFill>
    </fill>
    <fill>
      <patternFill patternType="solid">
        <fgColor theme="0" tint="-4.9989318521683403E-2"/>
        <bgColor indexed="64"/>
      </patternFill>
    </fill>
    <fill>
      <patternFill patternType="solid">
        <fgColor rgb="FFFFC000"/>
        <bgColor indexed="64"/>
      </patternFill>
    </fill>
    <fill>
      <patternFill patternType="solid">
        <fgColor indexed="26"/>
      </patternFill>
    </fill>
    <fill>
      <patternFill patternType="solid">
        <fgColor indexed="24"/>
      </patternFill>
    </fill>
    <fill>
      <patternFill patternType="solid">
        <fgColor rgb="FFFFFF0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auto="1"/>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auto="1"/>
      </top>
      <bottom style="thin">
        <color auto="1"/>
      </bottom>
      <diagonal/>
    </border>
  </borders>
  <cellStyleXfs count="12">
    <xf numFmtId="0" fontId="0" fillId="0" borderId="0">
      <alignment vertical="center"/>
    </xf>
    <xf numFmtId="164" fontId="4" fillId="0" borderId="0" applyFont="0" applyFill="0" applyBorder="0" applyAlignment="0" applyProtection="0">
      <alignment vertical="center"/>
    </xf>
    <xf numFmtId="0" fontId="7" fillId="0" borderId="0" applyNumberFormat="0" applyFill="0" applyBorder="0" applyAlignment="0" applyProtection="0">
      <alignment vertical="top"/>
      <protection locked="0"/>
    </xf>
    <xf numFmtId="0" fontId="29" fillId="0" borderId="0"/>
    <xf numFmtId="0" fontId="34" fillId="0" borderId="0"/>
    <xf numFmtId="9" fontId="29" fillId="0" borderId="0" applyFont="0" applyFill="0" applyBorder="0" applyAlignment="0" applyProtection="0"/>
    <xf numFmtId="0" fontId="39" fillId="0" borderId="0"/>
    <xf numFmtId="43" fontId="34" fillId="0" borderId="0" applyFont="0" applyFill="0" applyBorder="0" applyAlignment="0" applyProtection="0"/>
    <xf numFmtId="43" fontId="34" fillId="0" borderId="0" applyFont="0" applyFill="0" applyBorder="0" applyAlignment="0" applyProtection="0"/>
    <xf numFmtId="0" fontId="39" fillId="12" borderId="0" applyNumberFormat="0" applyBorder="0"/>
    <xf numFmtId="0" fontId="40" fillId="13" borderId="0" applyNumberFormat="0" applyBorder="0">
      <alignment horizontal="center" wrapText="1"/>
    </xf>
    <xf numFmtId="0" fontId="41" fillId="0" borderId="0"/>
  </cellStyleXfs>
  <cellXfs count="242">
    <xf numFmtId="0" fontId="0" fillId="0" borderId="0" xfId="0">
      <alignment vertical="center"/>
    </xf>
    <xf numFmtId="0" fontId="8" fillId="0" borderId="1" xfId="0" applyFont="1" applyBorder="1" applyAlignment="1">
      <alignment horizontal="center" vertical="center"/>
    </xf>
    <xf numFmtId="2" fontId="9" fillId="0" borderId="1" xfId="0" applyNumberFormat="1" applyFont="1" applyFill="1" applyBorder="1" applyAlignment="1">
      <alignment horizontal="center" vertical="center" wrapText="1"/>
    </xf>
    <xf numFmtId="165" fontId="9" fillId="0" borderId="1" xfId="0" applyNumberFormat="1" applyFont="1" applyFill="1" applyBorder="1" applyAlignment="1">
      <alignment horizontal="center" vertical="center" wrapText="1"/>
    </xf>
    <xf numFmtId="2" fontId="9" fillId="0" borderId="1" xfId="1" applyNumberFormat="1" applyFont="1" applyFill="1" applyBorder="1" applyAlignment="1">
      <alignment horizontal="center" vertical="center"/>
    </xf>
    <xf numFmtId="2" fontId="0" fillId="0" borderId="1" xfId="0" applyNumberFormat="1" applyBorder="1">
      <alignment vertical="center"/>
    </xf>
    <xf numFmtId="2" fontId="9" fillId="0" borderId="0" xfId="0" applyNumberFormat="1" applyFont="1" applyFill="1" applyBorder="1" applyAlignment="1">
      <alignment horizontal="center" vertical="center" wrapText="1"/>
    </xf>
    <xf numFmtId="0" fontId="12" fillId="0" borderId="0" xfId="0" applyFont="1">
      <alignment vertical="center"/>
    </xf>
    <xf numFmtId="0" fontId="15" fillId="0" borderId="0" xfId="0" applyFont="1">
      <alignment vertical="center"/>
    </xf>
    <xf numFmtId="0" fontId="16" fillId="0" borderId="0" xfId="0" applyFont="1">
      <alignment vertical="center"/>
    </xf>
    <xf numFmtId="0" fontId="15" fillId="0" borderId="0" xfId="0" applyFont="1" applyAlignment="1">
      <alignment horizontal="left" vertical="center"/>
    </xf>
    <xf numFmtId="166" fontId="15" fillId="0" borderId="0" xfId="0" applyNumberFormat="1" applyFont="1" applyAlignment="1">
      <alignment horizontal="left" vertical="center"/>
    </xf>
    <xf numFmtId="17" fontId="17" fillId="0" borderId="0" xfId="0" applyNumberFormat="1" applyFont="1" applyBorder="1" applyAlignment="1">
      <alignment horizontal="left" vertical="center"/>
    </xf>
    <xf numFmtId="0" fontId="0" fillId="0" borderId="1" xfId="0" applyBorder="1" applyProtection="1">
      <alignment vertical="center"/>
      <protection hidden="1"/>
    </xf>
    <xf numFmtId="0" fontId="0" fillId="0" borderId="0" xfId="0" applyProtection="1">
      <alignment vertical="center"/>
      <protection hidden="1"/>
    </xf>
    <xf numFmtId="17" fontId="8" fillId="0" borderId="1" xfId="0" applyNumberFormat="1" applyFont="1" applyBorder="1" applyAlignment="1" applyProtection="1">
      <alignment horizontal="center" vertical="center"/>
      <protection hidden="1"/>
    </xf>
    <xf numFmtId="0" fontId="8" fillId="0" borderId="1" xfId="0" applyNumberFormat="1" applyFont="1" applyBorder="1" applyAlignment="1" applyProtection="1">
      <alignment horizontal="center" vertical="center"/>
      <protection hidden="1"/>
    </xf>
    <xf numFmtId="0" fontId="19" fillId="0" borderId="0" xfId="0" applyFont="1">
      <alignment vertical="center"/>
    </xf>
    <xf numFmtId="0" fontId="10" fillId="0" borderId="1" xfId="2" applyFont="1" applyFill="1" applyBorder="1" applyAlignment="1" applyProtection="1">
      <alignment horizontal="left" vertical="center" wrapText="1"/>
    </xf>
    <xf numFmtId="0" fontId="7" fillId="0" borderId="0" xfId="2" applyAlignment="1" applyProtection="1">
      <alignment vertical="center"/>
    </xf>
    <xf numFmtId="0" fontId="20" fillId="0" borderId="0" xfId="2" applyFont="1" applyAlignment="1" applyProtection="1">
      <alignment vertical="center"/>
    </xf>
    <xf numFmtId="0" fontId="7" fillId="0" borderId="0" xfId="2" applyAlignment="1" applyProtection="1">
      <alignment horizontal="left" vertical="center"/>
    </xf>
    <xf numFmtId="0" fontId="22" fillId="0" borderId="0" xfId="0" applyFont="1">
      <alignment vertical="center"/>
    </xf>
    <xf numFmtId="165" fontId="9" fillId="0" borderId="0" xfId="0" applyNumberFormat="1" applyFont="1" applyFill="1" applyBorder="1" applyAlignment="1">
      <alignment horizontal="center" vertical="center" wrapText="1"/>
    </xf>
    <xf numFmtId="0" fontId="10" fillId="0" borderId="0" xfId="2" applyFont="1" applyFill="1" applyBorder="1" applyAlignment="1" applyProtection="1">
      <alignment horizontal="left" vertical="center" wrapText="1"/>
    </xf>
    <xf numFmtId="0" fontId="8" fillId="0" borderId="0" xfId="0" applyFont="1" applyBorder="1" applyAlignment="1">
      <alignment horizontal="center" vertical="center"/>
    </xf>
    <xf numFmtId="168" fontId="0" fillId="0" borderId="0" xfId="0" applyNumberFormat="1" applyBorder="1" applyAlignment="1">
      <alignment horizontal="center"/>
    </xf>
    <xf numFmtId="2" fontId="0" fillId="0" borderId="0" xfId="0" applyNumberFormat="1" applyBorder="1">
      <alignment vertical="center"/>
    </xf>
    <xf numFmtId="0" fontId="0" fillId="0" borderId="0" xfId="0" applyBorder="1">
      <alignment vertical="center"/>
    </xf>
    <xf numFmtId="0" fontId="23" fillId="0" borderId="0" xfId="0" applyFont="1">
      <alignment vertical="center"/>
    </xf>
    <xf numFmtId="0" fontId="19" fillId="0" borderId="0" xfId="0" applyFont="1" applyAlignment="1">
      <alignment horizontal="center" vertical="center"/>
    </xf>
    <xf numFmtId="0" fontId="19" fillId="0" borderId="0" xfId="0" applyFont="1" applyFill="1" applyBorder="1" applyAlignment="1">
      <alignment horizontal="center" vertical="center"/>
    </xf>
    <xf numFmtId="0" fontId="0" fillId="0" borderId="0" xfId="0" applyAlignment="1">
      <alignment horizontal="center" vertical="center"/>
    </xf>
    <xf numFmtId="165" fontId="9" fillId="4" borderId="1" xfId="0" applyNumberFormat="1" applyFont="1" applyFill="1" applyBorder="1" applyAlignment="1">
      <alignment horizontal="center" vertical="center" wrapText="1"/>
    </xf>
    <xf numFmtId="0" fontId="8" fillId="4" borderId="1" xfId="0" applyFont="1" applyFill="1" applyBorder="1" applyAlignment="1">
      <alignment horizontal="center" vertical="center"/>
    </xf>
    <xf numFmtId="2" fontId="9" fillId="4" borderId="1" xfId="0" applyNumberFormat="1" applyFont="1" applyFill="1" applyBorder="1" applyAlignment="1">
      <alignment horizontal="center" vertical="center" wrapText="1"/>
    </xf>
    <xf numFmtId="0" fontId="0" fillId="4" borderId="1" xfId="0" applyFill="1" applyBorder="1">
      <alignment vertical="center"/>
    </xf>
    <xf numFmtId="2" fontId="9" fillId="5" borderId="1" xfId="0" applyNumberFormat="1" applyFont="1" applyFill="1" applyBorder="1" applyAlignment="1">
      <alignment horizontal="center" vertical="center" wrapText="1"/>
    </xf>
    <xf numFmtId="0" fontId="0" fillId="5" borderId="1" xfId="0" applyFill="1" applyBorder="1">
      <alignment vertical="center"/>
    </xf>
    <xf numFmtId="165" fontId="9" fillId="6" borderId="1" xfId="0" applyNumberFormat="1" applyFont="1" applyFill="1" applyBorder="1" applyAlignment="1">
      <alignment horizontal="center" vertical="center" wrapText="1"/>
    </xf>
    <xf numFmtId="0" fontId="8" fillId="6" borderId="1" xfId="0" applyFont="1" applyFill="1" applyBorder="1" applyAlignment="1">
      <alignment horizontal="center" vertical="center"/>
    </xf>
    <xf numFmtId="2" fontId="9" fillId="6" borderId="1" xfId="0" applyNumberFormat="1" applyFont="1" applyFill="1" applyBorder="1" applyAlignment="1">
      <alignment horizontal="center" vertical="center" wrapText="1"/>
    </xf>
    <xf numFmtId="0" fontId="0" fillId="6" borderId="1" xfId="0" applyFill="1" applyBorder="1">
      <alignment vertical="center"/>
    </xf>
    <xf numFmtId="165" fontId="9" fillId="7" borderId="1" xfId="0" applyNumberFormat="1" applyFont="1" applyFill="1" applyBorder="1" applyAlignment="1">
      <alignment horizontal="center" vertical="center" wrapText="1"/>
    </xf>
    <xf numFmtId="0" fontId="8" fillId="7" borderId="1" xfId="0" applyFont="1" applyFill="1" applyBorder="1" applyAlignment="1">
      <alignment horizontal="center" vertical="center"/>
    </xf>
    <xf numFmtId="2" fontId="9" fillId="7" borderId="1" xfId="0" applyNumberFormat="1" applyFont="1" applyFill="1" applyBorder="1" applyAlignment="1">
      <alignment horizontal="center" vertical="center" wrapText="1"/>
    </xf>
    <xf numFmtId="0" fontId="0" fillId="7" borderId="1" xfId="0" applyFill="1" applyBorder="1">
      <alignment vertical="center"/>
    </xf>
    <xf numFmtId="2" fontId="9" fillId="8" borderId="1" xfId="0" applyNumberFormat="1" applyFont="1" applyFill="1" applyBorder="1" applyAlignment="1">
      <alignment horizontal="center" vertical="center" wrapText="1"/>
    </xf>
    <xf numFmtId="0" fontId="0" fillId="8" borderId="1" xfId="0" applyFill="1" applyBorder="1">
      <alignment vertical="center"/>
    </xf>
    <xf numFmtId="2" fontId="9" fillId="8" borderId="1" xfId="1" applyNumberFormat="1" applyFont="1" applyFill="1" applyBorder="1" applyAlignment="1">
      <alignment horizontal="center" vertical="center"/>
    </xf>
    <xf numFmtId="2" fontId="9" fillId="6" borderId="1" xfId="1" applyNumberFormat="1" applyFont="1" applyFill="1" applyBorder="1" applyAlignment="1">
      <alignment horizontal="center" vertical="center"/>
    </xf>
    <xf numFmtId="2" fontId="0" fillId="6" borderId="1" xfId="0" applyNumberFormat="1" applyFill="1" applyBorder="1">
      <alignment vertical="center"/>
    </xf>
    <xf numFmtId="2" fontId="9" fillId="5" borderId="1" xfId="1" applyNumberFormat="1" applyFont="1" applyFill="1" applyBorder="1" applyAlignment="1">
      <alignment horizontal="center" vertical="center"/>
    </xf>
    <xf numFmtId="2" fontId="9" fillId="5" borderId="2" xfId="1" applyNumberFormat="1" applyFont="1" applyFill="1" applyBorder="1" applyAlignment="1">
      <alignment horizontal="center" vertical="center"/>
    </xf>
    <xf numFmtId="2" fontId="0" fillId="4" borderId="1" xfId="0" applyNumberFormat="1" applyFill="1" applyBorder="1">
      <alignment vertical="center"/>
    </xf>
    <xf numFmtId="2" fontId="9" fillId="4" borderId="1" xfId="1" applyNumberFormat="1" applyFont="1" applyFill="1" applyBorder="1" applyAlignment="1">
      <alignment horizontal="center" vertical="center"/>
    </xf>
    <xf numFmtId="0" fontId="12" fillId="3" borderId="1" xfId="0" applyFont="1" applyFill="1" applyBorder="1">
      <alignment vertical="center"/>
    </xf>
    <xf numFmtId="0" fontId="13" fillId="3" borderId="1" xfId="0" applyFont="1" applyFill="1" applyBorder="1" applyAlignment="1">
      <alignment horizontal="center" vertical="center" wrapText="1"/>
    </xf>
    <xf numFmtId="0" fontId="14" fillId="3" borderId="1" xfId="0" applyFont="1" applyFill="1" applyBorder="1" applyAlignment="1">
      <alignment horizontal="center" vertical="center" wrapText="1"/>
    </xf>
    <xf numFmtId="0" fontId="13" fillId="3" borderId="1" xfId="0" applyFont="1" applyFill="1" applyBorder="1" applyAlignment="1">
      <alignment horizontal="center" vertical="center"/>
    </xf>
    <xf numFmtId="17" fontId="13" fillId="3" borderId="1" xfId="0" applyNumberFormat="1" applyFont="1" applyFill="1" applyBorder="1" applyAlignment="1">
      <alignment horizontal="center" vertical="center"/>
    </xf>
    <xf numFmtId="165" fontId="25" fillId="7" borderId="1" xfId="0" applyNumberFormat="1" applyFont="1" applyFill="1" applyBorder="1" applyAlignment="1">
      <alignment horizontal="center" vertical="center" wrapText="1"/>
    </xf>
    <xf numFmtId="165" fontId="25" fillId="6" borderId="1" xfId="0" applyNumberFormat="1" applyFont="1" applyFill="1" applyBorder="1" applyAlignment="1">
      <alignment horizontal="center" vertical="center" wrapText="1"/>
    </xf>
    <xf numFmtId="2" fontId="25" fillId="5" borderId="1" xfId="0" applyNumberFormat="1" applyFont="1" applyFill="1" applyBorder="1" applyAlignment="1">
      <alignment horizontal="center" vertical="center" wrapText="1"/>
    </xf>
    <xf numFmtId="165" fontId="25" fillId="4" borderId="1" xfId="0" applyNumberFormat="1" applyFont="1" applyFill="1" applyBorder="1" applyAlignment="1">
      <alignment horizontal="center" vertical="center" wrapText="1"/>
    </xf>
    <xf numFmtId="2" fontId="9" fillId="7" borderId="1" xfId="0" applyNumberFormat="1" applyFont="1" applyFill="1" applyBorder="1" applyAlignment="1">
      <alignment horizontal="left" vertical="center" wrapText="1"/>
    </xf>
    <xf numFmtId="2" fontId="9" fillId="6" borderId="1" xfId="0" applyNumberFormat="1" applyFont="1" applyFill="1" applyBorder="1" applyAlignment="1">
      <alignment horizontal="left" vertical="center" wrapText="1"/>
    </xf>
    <xf numFmtId="2" fontId="9" fillId="5" borderId="1" xfId="0" applyNumberFormat="1" applyFont="1" applyFill="1" applyBorder="1" applyAlignment="1">
      <alignment horizontal="left" vertical="center" wrapText="1"/>
    </xf>
    <xf numFmtId="2" fontId="9" fillId="4" borderId="1" xfId="0" applyNumberFormat="1" applyFont="1" applyFill="1" applyBorder="1" applyAlignment="1">
      <alignment horizontal="left" vertical="center" wrapText="1"/>
    </xf>
    <xf numFmtId="2" fontId="9" fillId="8" borderId="3" xfId="0" applyNumberFormat="1" applyFont="1" applyFill="1" applyBorder="1" applyAlignment="1">
      <alignment horizontal="center" wrapText="1"/>
    </xf>
    <xf numFmtId="2" fontId="25" fillId="8" borderId="1" xfId="0" applyNumberFormat="1" applyFont="1" applyFill="1" applyBorder="1" applyAlignment="1">
      <alignment horizontal="center" vertical="center" wrapText="1"/>
    </xf>
    <xf numFmtId="2" fontId="9" fillId="8" borderId="1" xfId="0" applyNumberFormat="1" applyFont="1" applyFill="1" applyBorder="1" applyAlignment="1">
      <alignment horizontal="left" vertical="center" wrapText="1"/>
    </xf>
    <xf numFmtId="2" fontId="9" fillId="8" borderId="1" xfId="0" applyNumberFormat="1" applyFont="1" applyFill="1" applyBorder="1" applyAlignment="1">
      <alignment horizontal="center" vertical="center"/>
    </xf>
    <xf numFmtId="0" fontId="8" fillId="0" borderId="0" xfId="0" applyFont="1">
      <alignment vertical="center"/>
    </xf>
    <xf numFmtId="0" fontId="26" fillId="0" borderId="0" xfId="0" applyFont="1">
      <alignment vertical="center"/>
    </xf>
    <xf numFmtId="0" fontId="30" fillId="2" borderId="6" xfId="3" applyFont="1" applyFill="1" applyBorder="1" applyAlignment="1"/>
    <xf numFmtId="0" fontId="29" fillId="0" borderId="7" xfId="3" applyBorder="1" applyAlignment="1"/>
    <xf numFmtId="0" fontId="30" fillId="0" borderId="0" xfId="3" applyFont="1"/>
    <xf numFmtId="0" fontId="30" fillId="2" borderId="9" xfId="3" applyFont="1" applyFill="1" applyBorder="1"/>
    <xf numFmtId="0" fontId="30" fillId="2" borderId="0" xfId="3" applyFont="1" applyFill="1" applyBorder="1"/>
    <xf numFmtId="0" fontId="30" fillId="2" borderId="11" xfId="3" applyFont="1" applyFill="1" applyBorder="1"/>
    <xf numFmtId="0" fontId="30" fillId="2" borderId="12" xfId="3" applyFont="1" applyFill="1" applyBorder="1"/>
    <xf numFmtId="0" fontId="30" fillId="2" borderId="0" xfId="3" applyFont="1" applyFill="1"/>
    <xf numFmtId="0" fontId="30" fillId="9" borderId="1" xfId="4" applyFont="1" applyFill="1" applyBorder="1" applyAlignment="1">
      <alignment vertical="center"/>
    </xf>
    <xf numFmtId="0" fontId="30" fillId="0" borderId="9" xfId="4" applyFont="1" applyBorder="1" applyAlignment="1">
      <alignment horizontal="left" vertical="center" indent="1"/>
    </xf>
    <xf numFmtId="0" fontId="30" fillId="0" borderId="0" xfId="3" applyFont="1" applyAlignment="1">
      <alignment vertical="center"/>
    </xf>
    <xf numFmtId="0" fontId="30" fillId="2" borderId="0" xfId="3" applyFont="1" applyFill="1" applyAlignment="1">
      <alignment vertical="center"/>
    </xf>
    <xf numFmtId="0" fontId="30" fillId="2" borderId="1" xfId="4" applyFont="1" applyFill="1" applyBorder="1"/>
    <xf numFmtId="0" fontId="30" fillId="2" borderId="7" xfId="4" applyFont="1" applyFill="1" applyBorder="1"/>
    <xf numFmtId="0" fontId="30" fillId="0" borderId="0" xfId="4" applyFont="1" applyBorder="1" applyAlignment="1">
      <alignment horizontal="left" vertical="center" indent="1"/>
    </xf>
    <xf numFmtId="0" fontId="30" fillId="2" borderId="0" xfId="4" applyFont="1" applyFill="1" applyBorder="1"/>
    <xf numFmtId="0" fontId="30" fillId="2" borderId="10" xfId="3" applyFont="1" applyFill="1" applyBorder="1"/>
    <xf numFmtId="0" fontId="30" fillId="2" borderId="12" xfId="3" applyFont="1" applyFill="1" applyBorder="1" applyAlignment="1">
      <alignment horizontal="left"/>
    </xf>
    <xf numFmtId="0" fontId="35" fillId="2" borderId="12" xfId="3" applyFont="1" applyFill="1" applyBorder="1" applyAlignment="1">
      <alignment horizontal="left" vertical="center"/>
    </xf>
    <xf numFmtId="0" fontId="30" fillId="2" borderId="14" xfId="3" applyFont="1" applyFill="1" applyBorder="1" applyAlignment="1">
      <alignment horizontal="center" vertical="center"/>
    </xf>
    <xf numFmtId="0" fontId="30" fillId="2" borderId="2" xfId="3" applyFont="1" applyFill="1" applyBorder="1" applyAlignment="1">
      <alignment vertical="center"/>
    </xf>
    <xf numFmtId="0" fontId="30" fillId="2" borderId="2" xfId="3" applyFont="1" applyFill="1" applyBorder="1"/>
    <xf numFmtId="0" fontId="30" fillId="2" borderId="14" xfId="3" applyFont="1" applyFill="1" applyBorder="1" applyAlignment="1">
      <alignment horizontal="left"/>
    </xf>
    <xf numFmtId="0" fontId="35" fillId="2" borderId="14" xfId="3" applyFont="1" applyFill="1" applyBorder="1" applyAlignment="1">
      <alignment horizontal="left" vertical="center"/>
    </xf>
    <xf numFmtId="0" fontId="30" fillId="2" borderId="7" xfId="3" applyFont="1" applyFill="1" applyBorder="1" applyAlignment="1">
      <alignment horizontal="left"/>
    </xf>
    <xf numFmtId="0" fontId="35" fillId="2" borderId="7" xfId="3" applyFont="1" applyFill="1" applyBorder="1" applyAlignment="1">
      <alignment horizontal="left" vertical="center"/>
    </xf>
    <xf numFmtId="0" fontId="30" fillId="2" borderId="10" xfId="3" applyFont="1" applyFill="1" applyBorder="1" applyAlignment="1">
      <alignment vertical="center"/>
    </xf>
    <xf numFmtId="0" fontId="35" fillId="3" borderId="4" xfId="3" applyFont="1" applyFill="1" applyBorder="1" applyAlignment="1">
      <alignment vertical="center"/>
    </xf>
    <xf numFmtId="0" fontId="35" fillId="3" borderId="5" xfId="3" applyFont="1" applyFill="1" applyBorder="1" applyAlignment="1">
      <alignment vertical="center"/>
    </xf>
    <xf numFmtId="0" fontId="35" fillId="3" borderId="1" xfId="3" applyFont="1" applyFill="1" applyBorder="1" applyAlignment="1">
      <alignment horizontal="center" vertical="center" wrapText="1"/>
    </xf>
    <xf numFmtId="0" fontId="35" fillId="3" borderId="4" xfId="4" applyFont="1" applyFill="1" applyBorder="1" applyAlignment="1">
      <alignment horizontal="center" vertical="center" wrapText="1"/>
    </xf>
    <xf numFmtId="0" fontId="35" fillId="3" borderId="1" xfId="4" applyFont="1" applyFill="1" applyBorder="1" applyAlignment="1">
      <alignment horizontal="center" vertical="center" wrapText="1"/>
    </xf>
    <xf numFmtId="0" fontId="30" fillId="0" borderId="0" xfId="3" applyFont="1" applyAlignment="1">
      <alignment horizontal="center" wrapText="1"/>
    </xf>
    <xf numFmtId="0" fontId="36" fillId="3" borderId="1" xfId="3" applyFont="1" applyFill="1" applyBorder="1" applyAlignment="1">
      <alignment horizontal="center" vertical="center" wrapText="1"/>
    </xf>
    <xf numFmtId="0" fontId="35" fillId="2" borderId="2" xfId="3" applyFont="1" applyFill="1" applyBorder="1" applyAlignment="1">
      <alignment horizontal="center" vertical="center" wrapText="1"/>
    </xf>
    <xf numFmtId="0" fontId="30" fillId="0" borderId="0" xfId="3" applyFont="1" applyAlignment="1">
      <alignment wrapText="1"/>
    </xf>
    <xf numFmtId="0" fontId="30" fillId="3" borderId="1" xfId="3" applyFont="1" applyFill="1" applyBorder="1" applyAlignment="1">
      <alignment horizontal="center" vertical="center"/>
    </xf>
    <xf numFmtId="0" fontId="30" fillId="2" borderId="7" xfId="3" applyFont="1" applyFill="1" applyBorder="1" applyAlignment="1">
      <alignment horizontal="center" vertical="center"/>
    </xf>
    <xf numFmtId="0" fontId="0" fillId="0" borderId="1" xfId="0" applyBorder="1">
      <alignment vertical="center"/>
    </xf>
    <xf numFmtId="0" fontId="42" fillId="0" borderId="1" xfId="3" applyFont="1" applyBorder="1"/>
    <xf numFmtId="0" fontId="42" fillId="0" borderId="1" xfId="3" applyNumberFormat="1" applyFont="1" applyFill="1" applyBorder="1"/>
    <xf numFmtId="0" fontId="42" fillId="0" borderId="1" xfId="3" applyFont="1" applyFill="1" applyBorder="1"/>
    <xf numFmtId="0" fontId="42" fillId="0" borderId="1" xfId="0" applyFont="1" applyBorder="1">
      <alignment vertical="center"/>
    </xf>
    <xf numFmtId="0" fontId="3" fillId="2" borderId="2" xfId="3" applyFont="1" applyFill="1" applyBorder="1" applyAlignment="1">
      <alignment vertical="center"/>
    </xf>
    <xf numFmtId="0" fontId="31" fillId="2" borderId="6" xfId="3" applyFont="1" applyFill="1" applyBorder="1" applyAlignment="1">
      <alignment vertical="center"/>
    </xf>
    <xf numFmtId="0" fontId="31" fillId="2" borderId="7" xfId="3" applyFont="1" applyFill="1" applyBorder="1" applyAlignment="1">
      <alignment vertical="center"/>
    </xf>
    <xf numFmtId="0" fontId="31" fillId="2" borderId="8" xfId="3" applyFont="1" applyFill="1" applyBorder="1" applyAlignment="1">
      <alignment vertical="center"/>
    </xf>
    <xf numFmtId="0" fontId="35" fillId="2" borderId="9" xfId="3" applyFont="1" applyFill="1" applyBorder="1" applyAlignment="1">
      <alignment horizontal="center" vertical="center"/>
    </xf>
    <xf numFmtId="0" fontId="35" fillId="2" borderId="11" xfId="3" applyFont="1" applyFill="1" applyBorder="1" applyAlignment="1">
      <alignment horizontal="center" vertical="center"/>
    </xf>
    <xf numFmtId="17" fontId="30" fillId="2" borderId="14" xfId="3" applyNumberFormat="1" applyFont="1" applyFill="1" applyBorder="1" applyAlignment="1">
      <alignment horizontal="center" vertical="center"/>
    </xf>
    <xf numFmtId="167" fontId="30" fillId="2" borderId="7" xfId="3" applyNumberFormat="1" applyFont="1" applyFill="1" applyBorder="1" applyAlignment="1">
      <alignment horizontal="center" vertical="center"/>
    </xf>
    <xf numFmtId="0" fontId="3" fillId="10" borderId="1" xfId="4" applyFont="1" applyFill="1" applyBorder="1"/>
    <xf numFmtId="0" fontId="35" fillId="0" borderId="0" xfId="3" applyFont="1" applyFill="1" applyBorder="1" applyAlignment="1">
      <alignment horizontal="left" vertical="center"/>
    </xf>
    <xf numFmtId="0" fontId="35" fillId="2" borderId="0" xfId="3" applyFont="1" applyFill="1" applyBorder="1" applyAlignment="1">
      <alignment horizontal="left" vertical="center"/>
    </xf>
    <xf numFmtId="0" fontId="35" fillId="3" borderId="14" xfId="3" applyFont="1" applyFill="1" applyBorder="1" applyAlignment="1">
      <alignment vertical="center"/>
    </xf>
    <xf numFmtId="0" fontId="30" fillId="2" borderId="0" xfId="3" applyFont="1" applyFill="1" applyBorder="1" applyAlignment="1">
      <alignment horizontal="left"/>
    </xf>
    <xf numFmtId="0" fontId="30" fillId="2" borderId="0" xfId="3" applyFont="1" applyFill="1" applyAlignment="1" applyProtection="1">
      <alignment vertical="center"/>
      <protection locked="0"/>
    </xf>
    <xf numFmtId="0" fontId="35" fillId="2" borderId="2" xfId="3" applyFont="1" applyFill="1" applyBorder="1" applyAlignment="1" applyProtection="1">
      <alignment vertical="center"/>
      <protection hidden="1"/>
    </xf>
    <xf numFmtId="17" fontId="3" fillId="2" borderId="2" xfId="3" applyNumberFormat="1" applyFont="1" applyFill="1" applyBorder="1" applyAlignment="1" applyProtection="1">
      <alignment vertical="center"/>
      <protection locked="0"/>
    </xf>
    <xf numFmtId="169" fontId="3" fillId="2" borderId="2" xfId="3" applyNumberFormat="1" applyFont="1" applyFill="1" applyBorder="1" applyAlignment="1" applyProtection="1">
      <alignment vertical="center"/>
      <protection locked="0"/>
    </xf>
    <xf numFmtId="0" fontId="3" fillId="9" borderId="1" xfId="3" applyFont="1" applyFill="1" applyBorder="1" applyAlignment="1" applyProtection="1">
      <alignment vertical="center" wrapText="1"/>
      <protection locked="0"/>
    </xf>
    <xf numFmtId="9" fontId="3" fillId="2" borderId="1" xfId="5" applyNumberFormat="1" applyFont="1" applyFill="1" applyBorder="1" applyAlignment="1" applyProtection="1">
      <alignment vertical="center"/>
      <protection locked="0"/>
    </xf>
    <xf numFmtId="167" fontId="3" fillId="10" borderId="1" xfId="5" applyNumberFormat="1" applyFont="1" applyFill="1" applyBorder="1" applyAlignment="1" applyProtection="1">
      <alignment vertical="center"/>
      <protection locked="0" hidden="1"/>
    </xf>
    <xf numFmtId="169" fontId="3" fillId="0" borderId="1" xfId="3" applyNumberFormat="1" applyFont="1" applyBorder="1" applyAlignment="1" applyProtection="1">
      <alignment vertical="center"/>
      <protection locked="0" hidden="1"/>
    </xf>
    <xf numFmtId="167" fontId="3" fillId="10" borderId="1" xfId="3" applyNumberFormat="1" applyFont="1" applyFill="1" applyBorder="1" applyAlignment="1" applyProtection="1">
      <alignment vertical="center"/>
      <protection hidden="1"/>
    </xf>
    <xf numFmtId="0" fontId="38" fillId="2" borderId="9" xfId="3" applyFont="1" applyFill="1" applyBorder="1" applyAlignment="1" applyProtection="1">
      <alignment vertical="center"/>
      <protection hidden="1"/>
    </xf>
    <xf numFmtId="0" fontId="38" fillId="0" borderId="10" xfId="3" applyFont="1" applyBorder="1" applyProtection="1">
      <protection hidden="1"/>
    </xf>
    <xf numFmtId="169" fontId="43" fillId="11" borderId="1" xfId="3" applyNumberFormat="1" applyFont="1" applyFill="1" applyBorder="1" applyAlignment="1" applyProtection="1">
      <alignment vertical="center"/>
      <protection hidden="1"/>
    </xf>
    <xf numFmtId="167" fontId="43" fillId="11" borderId="1" xfId="3" applyNumberFormat="1" applyFont="1" applyFill="1" applyBorder="1" applyAlignment="1" applyProtection="1">
      <alignment vertical="center"/>
      <protection hidden="1"/>
    </xf>
    <xf numFmtId="0" fontId="37" fillId="2" borderId="9" xfId="3" applyFont="1" applyFill="1" applyBorder="1" applyAlignment="1" applyProtection="1">
      <alignment vertical="center"/>
      <protection hidden="1"/>
    </xf>
    <xf numFmtId="0" fontId="3" fillId="2" borderId="2" xfId="3" applyFont="1" applyFill="1" applyBorder="1" applyAlignment="1" applyProtection="1">
      <alignment vertical="center"/>
      <protection locked="0"/>
    </xf>
    <xf numFmtId="0" fontId="14" fillId="10" borderId="1" xfId="3" applyFont="1" applyFill="1" applyBorder="1" applyAlignment="1" applyProtection="1">
      <alignment vertical="center" wrapText="1"/>
      <protection hidden="1"/>
    </xf>
    <xf numFmtId="170" fontId="3" fillId="2" borderId="2" xfId="3" applyNumberFormat="1" applyFont="1" applyFill="1" applyBorder="1" applyAlignment="1" applyProtection="1">
      <alignment vertical="center"/>
      <protection hidden="1"/>
    </xf>
    <xf numFmtId="0" fontId="30" fillId="2" borderId="2" xfId="3" applyFont="1" applyFill="1" applyBorder="1" applyProtection="1">
      <protection locked="0"/>
    </xf>
    <xf numFmtId="0" fontId="42" fillId="0" borderId="2" xfId="0" applyFont="1" applyFill="1" applyBorder="1">
      <alignment vertical="center"/>
    </xf>
    <xf numFmtId="0" fontId="8" fillId="7" borderId="1" xfId="0" applyFont="1" applyFill="1" applyBorder="1" applyAlignment="1">
      <alignment vertical="center" wrapText="1"/>
    </xf>
    <xf numFmtId="0" fontId="10" fillId="7" borderId="1" xfId="2" applyFont="1" applyFill="1" applyBorder="1" applyAlignment="1" applyProtection="1">
      <alignment horizontal="left" vertical="center" wrapText="1"/>
    </xf>
    <xf numFmtId="2" fontId="10" fillId="6" borderId="1" xfId="2" applyNumberFormat="1" applyFont="1" applyFill="1" applyBorder="1" applyAlignment="1" applyProtection="1">
      <alignment horizontal="left" vertical="center" wrapText="1"/>
    </xf>
    <xf numFmtId="165" fontId="9" fillId="5" borderId="1" xfId="0" applyNumberFormat="1" applyFont="1" applyFill="1" applyBorder="1" applyAlignment="1">
      <alignment horizontal="center" vertical="center" wrapText="1"/>
    </xf>
    <xf numFmtId="2" fontId="10" fillId="5" borderId="1" xfId="2" applyNumberFormat="1" applyFont="1" applyFill="1" applyBorder="1" applyAlignment="1" applyProtection="1">
      <alignment horizontal="left" vertical="center" wrapText="1"/>
    </xf>
    <xf numFmtId="2" fontId="9" fillId="5" borderId="0" xfId="0" applyNumberFormat="1" applyFont="1" applyFill="1" applyBorder="1" applyAlignment="1">
      <alignment horizontal="center" vertical="center" wrapText="1"/>
    </xf>
    <xf numFmtId="0" fontId="10" fillId="5" borderId="1" xfId="2" applyFont="1" applyFill="1" applyBorder="1" applyAlignment="1" applyProtection="1">
      <alignment horizontal="left" vertical="center" wrapText="1"/>
    </xf>
    <xf numFmtId="2" fontId="9" fillId="5" borderId="2" xfId="0" applyNumberFormat="1" applyFont="1" applyFill="1" applyBorder="1" applyAlignment="1">
      <alignment horizontal="center" vertical="center" wrapText="1"/>
    </xf>
    <xf numFmtId="0" fontId="44" fillId="0" borderId="0" xfId="0" applyFont="1">
      <alignment vertical="center"/>
    </xf>
    <xf numFmtId="0" fontId="46" fillId="0" borderId="0" xfId="0" applyFont="1">
      <alignment vertical="center"/>
    </xf>
    <xf numFmtId="0" fontId="8" fillId="0" borderId="0" xfId="0" applyFont="1" applyAlignment="1">
      <alignment horizontal="left" vertical="center"/>
    </xf>
    <xf numFmtId="0" fontId="10" fillId="6" borderId="1" xfId="2" applyFont="1" applyFill="1" applyBorder="1" applyAlignment="1" applyProtection="1">
      <alignment horizontal="left" vertical="center" wrapText="1"/>
    </xf>
    <xf numFmtId="2" fontId="10" fillId="8" borderId="1" xfId="2" applyNumberFormat="1" applyFont="1" applyFill="1" applyBorder="1" applyAlignment="1" applyProtection="1">
      <alignment horizontal="left" vertical="center" wrapText="1"/>
    </xf>
    <xf numFmtId="0" fontId="10" fillId="4" borderId="1" xfId="2" applyFont="1" applyFill="1" applyBorder="1" applyAlignment="1" applyProtection="1">
      <alignment horizontal="left" vertical="center" wrapText="1"/>
    </xf>
    <xf numFmtId="2" fontId="18" fillId="6" borderId="1" xfId="0" applyNumberFormat="1" applyFont="1" applyFill="1" applyBorder="1" applyAlignment="1">
      <alignment horizontal="center" vertical="center" wrapText="1"/>
    </xf>
    <xf numFmtId="2" fontId="7" fillId="5" borderId="1" xfId="2" applyNumberFormat="1" applyFill="1" applyBorder="1" applyAlignment="1" applyProtection="1">
      <alignment horizontal="left" vertical="center" wrapText="1"/>
    </xf>
    <xf numFmtId="0" fontId="50" fillId="0" borderId="0" xfId="0" applyFont="1" applyAlignment="1">
      <alignment horizontal="left" vertical="center" indent="5"/>
    </xf>
    <xf numFmtId="0" fontId="54" fillId="0" borderId="0" xfId="0" applyFont="1">
      <alignment vertical="center"/>
    </xf>
    <xf numFmtId="0" fontId="1" fillId="0" borderId="0" xfId="0" applyFont="1">
      <alignment vertical="center"/>
    </xf>
    <xf numFmtId="171" fontId="0" fillId="0" borderId="0" xfId="0" applyNumberFormat="1">
      <alignment vertical="center"/>
    </xf>
    <xf numFmtId="0" fontId="0" fillId="14" borderId="0" xfId="0" applyFill="1">
      <alignment vertical="center"/>
    </xf>
    <xf numFmtId="2" fontId="9" fillId="14" borderId="1" xfId="0" applyNumberFormat="1" applyFont="1" applyFill="1" applyBorder="1" applyAlignment="1">
      <alignment horizontal="center" vertical="center" wrapText="1"/>
    </xf>
    <xf numFmtId="165" fontId="9" fillId="14" borderId="1" xfId="0" applyNumberFormat="1" applyFont="1" applyFill="1" applyBorder="1" applyAlignment="1">
      <alignment horizontal="center" vertical="center" wrapText="1"/>
    </xf>
    <xf numFmtId="0" fontId="0" fillId="0" borderId="0" xfId="0" applyFill="1">
      <alignment vertical="center"/>
    </xf>
    <xf numFmtId="0" fontId="31" fillId="2" borderId="6" xfId="3" applyFont="1" applyFill="1" applyBorder="1" applyAlignment="1">
      <alignment horizontal="center" vertical="center"/>
    </xf>
    <xf numFmtId="0" fontId="31" fillId="2" borderId="7" xfId="3" applyFont="1" applyFill="1" applyBorder="1" applyAlignment="1">
      <alignment horizontal="center" vertical="center"/>
    </xf>
    <xf numFmtId="0" fontId="31" fillId="2" borderId="8" xfId="3" applyFont="1" applyFill="1" applyBorder="1" applyAlignment="1">
      <alignment horizontal="center" vertical="center"/>
    </xf>
    <xf numFmtId="0" fontId="32" fillId="2" borderId="9" xfId="3" applyFont="1" applyFill="1" applyBorder="1" applyAlignment="1">
      <alignment horizontal="center" vertical="center"/>
    </xf>
    <xf numFmtId="0" fontId="32" fillId="2" borderId="0" xfId="3" applyFont="1" applyFill="1" applyBorder="1" applyAlignment="1">
      <alignment horizontal="center" vertical="center"/>
    </xf>
    <xf numFmtId="0" fontId="32" fillId="2" borderId="10" xfId="3" applyFont="1" applyFill="1" applyBorder="1" applyAlignment="1">
      <alignment horizontal="center" vertical="center"/>
    </xf>
    <xf numFmtId="0" fontId="33" fillId="2" borderId="11" xfId="3" applyFont="1" applyFill="1" applyBorder="1" applyAlignment="1">
      <alignment horizontal="center" vertical="center"/>
    </xf>
    <xf numFmtId="0" fontId="33" fillId="2" borderId="12" xfId="3" applyFont="1" applyFill="1" applyBorder="1" applyAlignment="1">
      <alignment horizontal="center" vertical="center"/>
    </xf>
    <xf numFmtId="0" fontId="33" fillId="2" borderId="13" xfId="3" applyFont="1" applyFill="1" applyBorder="1" applyAlignment="1">
      <alignment horizontal="center" vertical="center"/>
    </xf>
    <xf numFmtId="0" fontId="35" fillId="2" borderId="0" xfId="3" applyFont="1" applyFill="1" applyBorder="1" applyAlignment="1" applyProtection="1">
      <alignment horizontal="center" vertical="center"/>
      <protection locked="0"/>
    </xf>
    <xf numFmtId="0" fontId="35" fillId="2" borderId="10" xfId="3" applyFont="1" applyFill="1" applyBorder="1" applyAlignment="1" applyProtection="1">
      <alignment horizontal="center" vertical="center"/>
      <protection locked="0"/>
    </xf>
    <xf numFmtId="17" fontId="35" fillId="3" borderId="4" xfId="3" applyNumberFormat="1" applyFont="1" applyFill="1" applyBorder="1" applyAlignment="1" applyProtection="1">
      <alignment horizontal="center" vertical="center"/>
      <protection hidden="1"/>
    </xf>
    <xf numFmtId="17" fontId="35" fillId="3" borderId="14" xfId="3" applyNumberFormat="1" applyFont="1" applyFill="1" applyBorder="1" applyAlignment="1" applyProtection="1">
      <alignment horizontal="center" vertical="center"/>
      <protection hidden="1"/>
    </xf>
    <xf numFmtId="17" fontId="35" fillId="3" borderId="5" xfId="3" applyNumberFormat="1" applyFont="1" applyFill="1" applyBorder="1" applyAlignment="1" applyProtection="1">
      <alignment horizontal="center" vertical="center"/>
      <protection hidden="1"/>
    </xf>
    <xf numFmtId="0" fontId="35" fillId="3" borderId="1" xfId="3" applyFont="1" applyFill="1" applyBorder="1" applyAlignment="1">
      <alignment horizontal="center" vertical="center"/>
    </xf>
    <xf numFmtId="15" fontId="35" fillId="2" borderId="12" xfId="3" applyNumberFormat="1" applyFont="1" applyFill="1" applyBorder="1" applyAlignment="1" applyProtection="1">
      <alignment horizontal="center" vertical="center"/>
      <protection locked="0"/>
    </xf>
    <xf numFmtId="0" fontId="35" fillId="2" borderId="12" xfId="3" applyFont="1" applyFill="1" applyBorder="1" applyAlignment="1" applyProtection="1">
      <alignment horizontal="center" vertical="center"/>
      <protection locked="0"/>
    </xf>
    <xf numFmtId="0" fontId="35" fillId="2" borderId="13" xfId="3" applyFont="1" applyFill="1" applyBorder="1" applyAlignment="1" applyProtection="1">
      <alignment horizontal="center" vertical="center"/>
      <protection locked="0"/>
    </xf>
    <xf numFmtId="170" fontId="3" fillId="10" borderId="1" xfId="3" applyNumberFormat="1" applyFont="1" applyFill="1" applyBorder="1" applyAlignment="1" applyProtection="1">
      <alignment horizontal="center" vertical="center"/>
      <protection hidden="1"/>
    </xf>
    <xf numFmtId="0" fontId="35" fillId="3" borderId="6" xfId="3" applyFont="1" applyFill="1" applyBorder="1" applyAlignment="1">
      <alignment horizontal="center" vertical="center"/>
    </xf>
    <xf numFmtId="0" fontId="35" fillId="3" borderId="8" xfId="3" applyFont="1" applyFill="1" applyBorder="1" applyAlignment="1">
      <alignment horizontal="center" vertical="center"/>
    </xf>
    <xf numFmtId="0" fontId="35" fillId="3" borderId="9" xfId="3" applyFont="1" applyFill="1" applyBorder="1" applyAlignment="1">
      <alignment horizontal="center" vertical="center"/>
    </xf>
    <xf numFmtId="0" fontId="35" fillId="3" borderId="10" xfId="3" applyFont="1" applyFill="1" applyBorder="1" applyAlignment="1">
      <alignment horizontal="center" vertical="center"/>
    </xf>
    <xf numFmtId="0" fontId="35" fillId="3" borderId="11" xfId="3" applyFont="1" applyFill="1" applyBorder="1" applyAlignment="1">
      <alignment horizontal="center" vertical="center"/>
    </xf>
    <xf numFmtId="0" fontId="35" fillId="3" borderId="13" xfId="3" applyFont="1" applyFill="1" applyBorder="1" applyAlignment="1">
      <alignment horizontal="center" vertical="center"/>
    </xf>
    <xf numFmtId="0" fontId="35" fillId="3" borderId="4" xfId="3" applyFont="1" applyFill="1" applyBorder="1" applyAlignment="1">
      <alignment horizontal="left" vertical="center"/>
    </xf>
    <xf numFmtId="0" fontId="35" fillId="3" borderId="14" xfId="3" applyFont="1" applyFill="1" applyBorder="1" applyAlignment="1">
      <alignment horizontal="left" vertical="center"/>
    </xf>
    <xf numFmtId="0" fontId="35" fillId="3" borderId="5" xfId="3" applyFont="1" applyFill="1" applyBorder="1" applyAlignment="1">
      <alignment horizontal="left" vertical="center"/>
    </xf>
    <xf numFmtId="0" fontId="3" fillId="9" borderId="1" xfId="3" applyNumberFormat="1" applyFont="1" applyFill="1" applyBorder="1" applyAlignment="1" applyProtection="1">
      <alignment horizontal="center" vertical="center"/>
      <protection locked="0"/>
    </xf>
    <xf numFmtId="0" fontId="14" fillId="9" borderId="1" xfId="3" applyNumberFormat="1" applyFont="1" applyFill="1" applyBorder="1" applyAlignment="1" applyProtection="1">
      <alignment horizontal="center" vertical="center"/>
      <protection locked="0"/>
    </xf>
    <xf numFmtId="0" fontId="2" fillId="2" borderId="1" xfId="3" applyFont="1" applyFill="1" applyBorder="1" applyAlignment="1" applyProtection="1">
      <alignment horizontal="center" vertical="center"/>
      <protection locked="0"/>
    </xf>
    <xf numFmtId="0" fontId="3" fillId="2" borderId="1" xfId="3" applyFont="1" applyFill="1" applyBorder="1" applyAlignment="1" applyProtection="1">
      <alignment horizontal="center" vertical="center"/>
      <protection locked="0"/>
    </xf>
    <xf numFmtId="169" fontId="3" fillId="2" borderId="4" xfId="3" applyNumberFormat="1" applyFont="1" applyFill="1" applyBorder="1" applyAlignment="1" applyProtection="1">
      <alignment horizontal="center" vertical="center"/>
      <protection locked="0"/>
    </xf>
    <xf numFmtId="169" fontId="29" fillId="2" borderId="14" xfId="3" applyNumberFormat="1" applyFont="1" applyFill="1" applyBorder="1" applyAlignment="1" applyProtection="1">
      <alignment vertical="center"/>
      <protection locked="0"/>
    </xf>
    <xf numFmtId="169" fontId="29" fillId="2" borderId="5" xfId="3" applyNumberFormat="1" applyFont="1" applyFill="1" applyBorder="1" applyAlignment="1" applyProtection="1">
      <alignment vertical="center"/>
      <protection locked="0"/>
    </xf>
    <xf numFmtId="0" fontId="30" fillId="0" borderId="4" xfId="3" applyFont="1" applyBorder="1" applyAlignment="1" applyProtection="1">
      <alignment horizontal="center" vertical="center"/>
      <protection locked="0"/>
    </xf>
    <xf numFmtId="0" fontId="30" fillId="0" borderId="14" xfId="3" applyFont="1" applyBorder="1" applyAlignment="1" applyProtection="1">
      <alignment horizontal="center" vertical="center"/>
      <protection locked="0"/>
    </xf>
    <xf numFmtId="0" fontId="30" fillId="0" borderId="5" xfId="3" applyFont="1" applyBorder="1" applyAlignment="1" applyProtection="1">
      <alignment horizontal="center" vertical="center"/>
      <protection locked="0"/>
    </xf>
    <xf numFmtId="169" fontId="35" fillId="3" borderId="4" xfId="3" applyNumberFormat="1" applyFont="1" applyFill="1" applyBorder="1" applyAlignment="1">
      <alignment horizontal="center" vertical="center"/>
    </xf>
    <xf numFmtId="169" fontId="35" fillId="3" borderId="14" xfId="3" applyNumberFormat="1" applyFont="1" applyFill="1" applyBorder="1" applyAlignment="1">
      <alignment horizontal="center" vertical="center"/>
    </xf>
    <xf numFmtId="169" fontId="35" fillId="3" borderId="5" xfId="3" applyNumberFormat="1" applyFont="1" applyFill="1" applyBorder="1" applyAlignment="1">
      <alignment horizontal="center" vertical="center"/>
    </xf>
    <xf numFmtId="17" fontId="3" fillId="9" borderId="4" xfId="3" applyNumberFormat="1" applyFont="1" applyFill="1" applyBorder="1" applyAlignment="1" applyProtection="1">
      <alignment horizontal="center" vertical="center"/>
      <protection locked="0"/>
    </xf>
    <xf numFmtId="17" fontId="3" fillId="9" borderId="14" xfId="3" applyNumberFormat="1" applyFont="1" applyFill="1" applyBorder="1" applyAlignment="1" applyProtection="1">
      <alignment horizontal="center" vertical="center"/>
      <protection locked="0"/>
    </xf>
    <xf numFmtId="17" fontId="3" fillId="9" borderId="5" xfId="3" applyNumberFormat="1" applyFont="1" applyFill="1" applyBorder="1" applyAlignment="1" applyProtection="1">
      <alignment horizontal="center" vertical="center"/>
      <protection locked="0"/>
    </xf>
    <xf numFmtId="0" fontId="35" fillId="0" borderId="10" xfId="3" applyFont="1" applyFill="1" applyBorder="1" applyAlignment="1">
      <alignment horizontal="left" vertical="center"/>
    </xf>
    <xf numFmtId="0" fontId="35" fillId="0" borderId="2" xfId="3" applyFont="1" applyFill="1" applyBorder="1" applyAlignment="1">
      <alignment horizontal="left" vertical="center"/>
    </xf>
    <xf numFmtId="0" fontId="35" fillId="0" borderId="9" xfId="3" applyFont="1" applyFill="1" applyBorder="1" applyAlignment="1">
      <alignment horizontal="left" vertical="center"/>
    </xf>
    <xf numFmtId="169" fontId="3" fillId="2" borderId="14" xfId="3" applyNumberFormat="1" applyFont="1" applyFill="1" applyBorder="1" applyAlignment="1" applyProtection="1">
      <alignment horizontal="center" vertical="center"/>
      <protection locked="0"/>
    </xf>
    <xf numFmtId="169" fontId="3" fillId="2" borderId="5" xfId="3" applyNumberFormat="1" applyFont="1" applyFill="1" applyBorder="1" applyAlignment="1" applyProtection="1">
      <alignment horizontal="center" vertical="center"/>
      <protection locked="0"/>
    </xf>
    <xf numFmtId="167" fontId="14" fillId="11" borderId="1" xfId="3" applyNumberFormat="1" applyFont="1" applyFill="1" applyBorder="1" applyAlignment="1" applyProtection="1">
      <alignment horizontal="center" vertical="center"/>
      <protection hidden="1"/>
    </xf>
    <xf numFmtId="167" fontId="14" fillId="11" borderId="14" xfId="3" applyNumberFormat="1" applyFont="1" applyFill="1" applyBorder="1" applyAlignment="1" applyProtection="1">
      <alignment horizontal="center" vertical="center"/>
      <protection hidden="1"/>
    </xf>
    <xf numFmtId="167" fontId="14" fillId="11" borderId="5" xfId="3" applyNumberFormat="1" applyFont="1" applyFill="1" applyBorder="1" applyAlignment="1" applyProtection="1">
      <alignment horizontal="center" vertical="center"/>
      <protection hidden="1"/>
    </xf>
    <xf numFmtId="170" fontId="3" fillId="10" borderId="4" xfId="3" applyNumberFormat="1" applyFont="1" applyFill="1" applyBorder="1" applyAlignment="1" applyProtection="1">
      <alignment horizontal="center" vertical="center"/>
      <protection hidden="1"/>
    </xf>
    <xf numFmtId="170" fontId="3" fillId="10" borderId="14" xfId="3" applyNumberFormat="1" applyFont="1" applyFill="1" applyBorder="1" applyAlignment="1" applyProtection="1">
      <alignment horizontal="center" vertical="center"/>
      <protection hidden="1"/>
    </xf>
    <xf numFmtId="170" fontId="3" fillId="10" borderId="5" xfId="3" applyNumberFormat="1" applyFont="1" applyFill="1" applyBorder="1" applyAlignment="1" applyProtection="1">
      <alignment horizontal="center" vertical="center"/>
      <protection hidden="1"/>
    </xf>
    <xf numFmtId="17" fontId="3" fillId="9" borderId="1" xfId="3" applyNumberFormat="1" applyFont="1" applyFill="1" applyBorder="1" applyAlignment="1" applyProtection="1">
      <alignment horizontal="center" vertical="center"/>
      <protection locked="0"/>
    </xf>
    <xf numFmtId="169" fontId="29" fillId="2" borderId="14" xfId="3" applyNumberFormat="1" applyFont="1" applyFill="1" applyBorder="1" applyProtection="1">
      <protection locked="0"/>
    </xf>
    <xf numFmtId="169" fontId="29" fillId="2" borderId="5" xfId="3" applyNumberFormat="1" applyFont="1" applyFill="1" applyBorder="1" applyProtection="1">
      <protection locked="0"/>
    </xf>
    <xf numFmtId="0" fontId="35" fillId="3" borderId="6" xfId="3" applyFont="1" applyFill="1" applyBorder="1" applyAlignment="1">
      <alignment horizontal="center" vertical="center" wrapText="1"/>
    </xf>
    <xf numFmtId="0" fontId="35" fillId="3" borderId="8" xfId="3" applyFont="1" applyFill="1" applyBorder="1" applyAlignment="1">
      <alignment horizontal="center" vertical="center" wrapText="1"/>
    </xf>
    <xf numFmtId="0" fontId="35" fillId="3" borderId="11" xfId="3" applyFont="1" applyFill="1" applyBorder="1" applyAlignment="1">
      <alignment horizontal="center" vertical="center" wrapText="1"/>
    </xf>
    <xf numFmtId="0" fontId="35" fillId="3" borderId="13" xfId="3" applyFont="1" applyFill="1" applyBorder="1" applyAlignment="1">
      <alignment horizontal="center" vertical="center" wrapText="1"/>
    </xf>
    <xf numFmtId="17" fontId="2" fillId="9" borderId="1" xfId="3" applyNumberFormat="1" applyFont="1" applyFill="1" applyBorder="1" applyAlignment="1" applyProtection="1">
      <alignment horizontal="center" vertical="center"/>
      <protection locked="0"/>
    </xf>
    <xf numFmtId="0" fontId="37" fillId="3" borderId="4" xfId="3" applyFont="1" applyFill="1" applyBorder="1" applyAlignment="1" applyProtection="1">
      <alignment horizontal="center" vertical="center" wrapText="1"/>
      <protection hidden="1"/>
    </xf>
    <xf numFmtId="0" fontId="37" fillId="3" borderId="14" xfId="3" applyFont="1" applyFill="1" applyBorder="1" applyAlignment="1" applyProtection="1">
      <alignment horizontal="center" vertical="center" wrapText="1"/>
      <protection hidden="1"/>
    </xf>
    <xf numFmtId="0" fontId="37" fillId="3" borderId="5" xfId="3" applyFont="1" applyFill="1" applyBorder="1" applyAlignment="1" applyProtection="1">
      <alignment horizontal="center" vertical="center" wrapText="1"/>
      <protection hidden="1"/>
    </xf>
    <xf numFmtId="0" fontId="0" fillId="0" borderId="4" xfId="0" applyBorder="1" applyAlignment="1" applyProtection="1">
      <alignment horizontal="center" vertical="center"/>
      <protection hidden="1"/>
    </xf>
    <xf numFmtId="0" fontId="0" fillId="0" borderId="5" xfId="0" applyBorder="1" applyAlignment="1" applyProtection="1">
      <alignment horizontal="center" vertical="center"/>
      <protection hidden="1"/>
    </xf>
  </cellXfs>
  <cellStyles count="12">
    <cellStyle name="_TRAVAIL ECooking IS+RUM nouv prod par marchés B2008 col modif" xfId="6"/>
    <cellStyle name="Comma" xfId="1" builtinId="3"/>
    <cellStyle name="Comma 2" xfId="7"/>
    <cellStyle name="Hyperlink" xfId="2" builtinId="8"/>
    <cellStyle name="Milliers_Standard cost sourced products_BU 2008_V36" xfId="8"/>
    <cellStyle name="Normal" xfId="0" builtinId="0"/>
    <cellStyle name="Normal 2" xfId="3"/>
    <cellStyle name="Normal 2 2" xfId="4"/>
    <cellStyle name="Normal 3" xfId="11"/>
    <cellStyle name="Percent 2" xfId="5"/>
    <cellStyle name="TableBlueBody" xfId="9"/>
    <cellStyle name="TableBlueHeader" xfId="10"/>
  </cellStyles>
  <dxfs count="34">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FF0000"/>
      </font>
    </dxf>
    <dxf>
      <font>
        <b/>
        <i val="0"/>
        <color rgb="FF00B05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rgb="FFFF0000"/>
      </font>
    </dxf>
    <dxf>
      <font>
        <color rgb="FF00B050"/>
      </font>
    </dxf>
  </dxfs>
  <tableStyles count="0" defaultTableStyle="TableStyleMedium9" defaultPivotStyle="PivotStyleLight16"/>
  <colors>
    <mruColors>
      <color rgb="FFFFFFCC"/>
      <color rgb="FF008080"/>
      <color rgb="FFFFCC00"/>
      <color rgb="FF00CC99"/>
      <color rgb="FFFF9999"/>
      <color rgb="FFFF7C80"/>
      <color rgb="FFD60093"/>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a:pPr>
            <a:r>
              <a:rPr lang="fr-FR" sz="1800" b="1" i="0" baseline="0"/>
              <a:t>Material Trends: 2008 - 2009 - RMB</a:t>
            </a:r>
          </a:p>
        </c:rich>
      </c:tx>
      <c:layout/>
      <c:overlay val="1"/>
    </c:title>
    <c:plotArea>
      <c:layout>
        <c:manualLayout>
          <c:layoutTarget val="inner"/>
          <c:xMode val="edge"/>
          <c:yMode val="edge"/>
          <c:x val="8.9092665113573763E-2"/>
          <c:y val="0.17122569985158539"/>
          <c:w val="0.71210917299176413"/>
          <c:h val="0.63832341218785571"/>
        </c:manualLayout>
      </c:layout>
      <c:lineChart>
        <c:grouping val="standard"/>
        <c:ser>
          <c:idx val="2"/>
          <c:order val="0"/>
          <c:tx>
            <c:strRef>
              <c:f>'Base 100'!$D$1</c:f>
              <c:strCache>
                <c:ptCount val="1"/>
                <c:pt idx="0">
                  <c:v>Alu ingot</c:v>
                </c:pt>
              </c:strCache>
            </c:strRef>
          </c:tx>
          <c:spPr>
            <a:ln w="19050">
              <a:solidFill>
                <a:schemeClr val="accent6">
                  <a:lumMod val="75000"/>
                </a:schemeClr>
              </a:solidFill>
            </a:ln>
          </c:spPr>
          <c:marker>
            <c:symbol val="triangle"/>
            <c:size val="2"/>
            <c:spPr>
              <a:solidFill>
                <a:schemeClr val="accent6">
                  <a:lumMod val="75000"/>
                </a:schemeClr>
              </a:solidFill>
              <a:ln>
                <a:solidFill>
                  <a:schemeClr val="accent6">
                    <a:lumMod val="75000"/>
                  </a:schemeClr>
                </a:solidFill>
              </a:ln>
            </c:spPr>
          </c:marker>
          <c:cat>
            <c:numRef>
              <c:f>'Base 100'!$A$8:$A$44</c:f>
              <c:numCache>
                <c:formatCode>[$-409]mmm\-yy;@</c:formatCode>
                <c:ptCount val="26"/>
                <c:pt idx="0">
                  <c:v>39417</c:v>
                </c:pt>
                <c:pt idx="1">
                  <c:v>39448</c:v>
                </c:pt>
                <c:pt idx="2">
                  <c:v>39479</c:v>
                </c:pt>
                <c:pt idx="3">
                  <c:v>39508</c:v>
                </c:pt>
                <c:pt idx="4">
                  <c:v>39539</c:v>
                </c:pt>
                <c:pt idx="5">
                  <c:v>39569</c:v>
                </c:pt>
                <c:pt idx="6">
                  <c:v>39600</c:v>
                </c:pt>
                <c:pt idx="7">
                  <c:v>39630</c:v>
                </c:pt>
                <c:pt idx="8">
                  <c:v>39661</c:v>
                </c:pt>
                <c:pt idx="9">
                  <c:v>39692</c:v>
                </c:pt>
                <c:pt idx="10">
                  <c:v>39722</c:v>
                </c:pt>
                <c:pt idx="11">
                  <c:v>39753</c:v>
                </c:pt>
                <c:pt idx="12">
                  <c:v>39783</c:v>
                </c:pt>
                <c:pt idx="13">
                  <c:v>39814</c:v>
                </c:pt>
                <c:pt idx="14">
                  <c:v>39845</c:v>
                </c:pt>
                <c:pt idx="15">
                  <c:v>39873</c:v>
                </c:pt>
                <c:pt idx="16">
                  <c:v>39904</c:v>
                </c:pt>
                <c:pt idx="17">
                  <c:v>39934</c:v>
                </c:pt>
                <c:pt idx="18">
                  <c:v>39965</c:v>
                </c:pt>
                <c:pt idx="19">
                  <c:v>39995</c:v>
                </c:pt>
                <c:pt idx="20">
                  <c:v>40026</c:v>
                </c:pt>
                <c:pt idx="21">
                  <c:v>40057</c:v>
                </c:pt>
                <c:pt idx="22">
                  <c:v>40087</c:v>
                </c:pt>
                <c:pt idx="23">
                  <c:v>40119</c:v>
                </c:pt>
                <c:pt idx="24">
                  <c:v>40150</c:v>
                </c:pt>
                <c:pt idx="25">
                  <c:v>40182</c:v>
                </c:pt>
              </c:numCache>
            </c:numRef>
          </c:cat>
          <c:val>
            <c:numRef>
              <c:f>'Base 100'!$F$8:$F$44</c:f>
              <c:numCache>
                <c:formatCode>General</c:formatCode>
                <c:ptCount val="26"/>
                <c:pt idx="0">
                  <c:v>100</c:v>
                </c:pt>
                <c:pt idx="1">
                  <c:v>104.77098834426386</c:v>
                </c:pt>
                <c:pt idx="2">
                  <c:v>111.40908143161916</c:v>
                </c:pt>
                <c:pt idx="3">
                  <c:v>118.23394613468585</c:v>
                </c:pt>
                <c:pt idx="4">
                  <c:v>115.11882858623974</c:v>
                </c:pt>
                <c:pt idx="5">
                  <c:v>114.19089406376244</c:v>
                </c:pt>
                <c:pt idx="6">
                  <c:v>118.83374561264091</c:v>
                </c:pt>
                <c:pt idx="7">
                  <c:v>122.60444276659366</c:v>
                </c:pt>
                <c:pt idx="8">
                  <c:v>116.19825536727323</c:v>
                </c:pt>
                <c:pt idx="9">
                  <c:v>105.84794279538356</c:v>
                </c:pt>
                <c:pt idx="10">
                  <c:v>90.79216870130378</c:v>
                </c:pt>
                <c:pt idx="11">
                  <c:v>86.26781099486621</c:v>
                </c:pt>
                <c:pt idx="12">
                  <c:v>73.009113016115535</c:v>
                </c:pt>
                <c:pt idx="13">
                  <c:v>75.494767705623175</c:v>
                </c:pt>
                <c:pt idx="14">
                  <c:v>74.696791922620733</c:v>
                </c:pt>
                <c:pt idx="15">
                  <c:v>78.620955184915104</c:v>
                </c:pt>
                <c:pt idx="16">
                  <c:v>85.022439111991957</c:v>
                </c:pt>
                <c:pt idx="17">
                  <c:v>82.342182761042849</c:v>
                </c:pt>
                <c:pt idx="18">
                  <c:v>83.218369136075893</c:v>
                </c:pt>
                <c:pt idx="19">
                  <c:v>89.357805094339966</c:v>
                </c:pt>
                <c:pt idx="20">
                  <c:v>94.407762635479244</c:v>
                </c:pt>
                <c:pt idx="21">
                  <c:v>92.61720101781728</c:v>
                </c:pt>
                <c:pt idx="22">
                  <c:v>94.970280311969134</c:v>
                </c:pt>
                <c:pt idx="23">
                  <c:v>100.35584640017447</c:v>
                </c:pt>
                <c:pt idx="24">
                  <c:v>105.37352564223382</c:v>
                </c:pt>
                <c:pt idx="25">
                  <c:v>108.74790133374582</c:v>
                </c:pt>
              </c:numCache>
            </c:numRef>
          </c:val>
        </c:ser>
        <c:ser>
          <c:idx val="4"/>
          <c:order val="1"/>
          <c:tx>
            <c:strRef>
              <c:f>'Base 100'!$G$1</c:f>
              <c:strCache>
                <c:ptCount val="1"/>
                <c:pt idx="0">
                  <c:v>Copper</c:v>
                </c:pt>
              </c:strCache>
            </c:strRef>
          </c:tx>
          <c:spPr>
            <a:ln w="19050">
              <a:solidFill>
                <a:schemeClr val="accent3">
                  <a:lumMod val="75000"/>
                </a:schemeClr>
              </a:solidFill>
            </a:ln>
          </c:spPr>
          <c:marker>
            <c:symbol val="star"/>
            <c:size val="3"/>
            <c:spPr>
              <a:solidFill>
                <a:schemeClr val="accent3">
                  <a:lumMod val="50000"/>
                </a:schemeClr>
              </a:solidFill>
              <a:ln>
                <a:solidFill>
                  <a:schemeClr val="accent3">
                    <a:lumMod val="50000"/>
                  </a:schemeClr>
                </a:solidFill>
              </a:ln>
            </c:spPr>
          </c:marker>
          <c:cat>
            <c:numRef>
              <c:f>'Base 100'!$A$8:$A$44</c:f>
              <c:numCache>
                <c:formatCode>[$-409]mmm\-yy;@</c:formatCode>
                <c:ptCount val="26"/>
                <c:pt idx="0">
                  <c:v>39417</c:v>
                </c:pt>
                <c:pt idx="1">
                  <c:v>39448</c:v>
                </c:pt>
                <c:pt idx="2">
                  <c:v>39479</c:v>
                </c:pt>
                <c:pt idx="3">
                  <c:v>39508</c:v>
                </c:pt>
                <c:pt idx="4">
                  <c:v>39539</c:v>
                </c:pt>
                <c:pt idx="5">
                  <c:v>39569</c:v>
                </c:pt>
                <c:pt idx="6">
                  <c:v>39600</c:v>
                </c:pt>
                <c:pt idx="7">
                  <c:v>39630</c:v>
                </c:pt>
                <c:pt idx="8">
                  <c:v>39661</c:v>
                </c:pt>
                <c:pt idx="9">
                  <c:v>39692</c:v>
                </c:pt>
                <c:pt idx="10">
                  <c:v>39722</c:v>
                </c:pt>
                <c:pt idx="11">
                  <c:v>39753</c:v>
                </c:pt>
                <c:pt idx="12">
                  <c:v>39783</c:v>
                </c:pt>
                <c:pt idx="13">
                  <c:v>39814</c:v>
                </c:pt>
                <c:pt idx="14">
                  <c:v>39845</c:v>
                </c:pt>
                <c:pt idx="15">
                  <c:v>39873</c:v>
                </c:pt>
                <c:pt idx="16">
                  <c:v>39904</c:v>
                </c:pt>
                <c:pt idx="17">
                  <c:v>39934</c:v>
                </c:pt>
                <c:pt idx="18">
                  <c:v>39965</c:v>
                </c:pt>
                <c:pt idx="19">
                  <c:v>39995</c:v>
                </c:pt>
                <c:pt idx="20">
                  <c:v>40026</c:v>
                </c:pt>
                <c:pt idx="21">
                  <c:v>40057</c:v>
                </c:pt>
                <c:pt idx="22">
                  <c:v>40087</c:v>
                </c:pt>
                <c:pt idx="23">
                  <c:v>40119</c:v>
                </c:pt>
                <c:pt idx="24">
                  <c:v>40150</c:v>
                </c:pt>
                <c:pt idx="25">
                  <c:v>40182</c:v>
                </c:pt>
              </c:numCache>
            </c:numRef>
          </c:cat>
          <c:val>
            <c:numRef>
              <c:f>'Base 100'!$I$8:$I$44</c:f>
              <c:numCache>
                <c:formatCode>General</c:formatCode>
                <c:ptCount val="26"/>
                <c:pt idx="0">
                  <c:v>100</c:v>
                </c:pt>
                <c:pt idx="1">
                  <c:v>109.98020636062149</c:v>
                </c:pt>
                <c:pt idx="2">
                  <c:v>121.8382792186584</c:v>
                </c:pt>
                <c:pt idx="3">
                  <c:v>126.83996714181809</c:v>
                </c:pt>
                <c:pt idx="4">
                  <c:v>122.55575511752895</c:v>
                </c:pt>
                <c:pt idx="5">
                  <c:v>123.07429672809225</c:v>
                </c:pt>
                <c:pt idx="6">
                  <c:v>123.07985851775942</c:v>
                </c:pt>
                <c:pt idx="7">
                  <c:v>128.25007727563894</c:v>
                </c:pt>
                <c:pt idx="8">
                  <c:v>118.60407155687258</c:v>
                </c:pt>
                <c:pt idx="9">
                  <c:v>113.31567101499857</c:v>
                </c:pt>
                <c:pt idx="10">
                  <c:v>86.43556500794071</c:v>
                </c:pt>
                <c:pt idx="11">
                  <c:v>73.812324053940813</c:v>
                </c:pt>
                <c:pt idx="12">
                  <c:v>63.204937176412756</c:v>
                </c:pt>
                <c:pt idx="13">
                  <c:v>64.075837176927465</c:v>
                </c:pt>
                <c:pt idx="14">
                  <c:v>56.932351244660687</c:v>
                </c:pt>
                <c:pt idx="15">
                  <c:v>64.116891693779564</c:v>
                </c:pt>
                <c:pt idx="16">
                  <c:v>79.527274742652793</c:v>
                </c:pt>
                <c:pt idx="17">
                  <c:v>77.580294223207886</c:v>
                </c:pt>
                <c:pt idx="18">
                  <c:v>82.0623840275654</c:v>
                </c:pt>
                <c:pt idx="19">
                  <c:v>85.929949727726679</c:v>
                </c:pt>
                <c:pt idx="20">
                  <c:v>100.44342095042057</c:v>
                </c:pt>
                <c:pt idx="21">
                  <c:v>99.599512292357971</c:v>
                </c:pt>
                <c:pt idx="22">
                  <c:v>103.82881279366588</c:v>
                </c:pt>
                <c:pt idx="23">
                  <c:v>114.05685326830124</c:v>
                </c:pt>
                <c:pt idx="24">
                  <c:v>116.67011856757559</c:v>
                </c:pt>
                <c:pt idx="25">
                  <c:v>122.61753355948014</c:v>
                </c:pt>
              </c:numCache>
            </c:numRef>
          </c:val>
        </c:ser>
        <c:ser>
          <c:idx val="0"/>
          <c:order val="2"/>
          <c:tx>
            <c:strRef>
              <c:f>'Base 100'!$J$1</c:f>
              <c:strCache>
                <c:ptCount val="1"/>
                <c:pt idx="0">
                  <c:v>PP Homo</c:v>
                </c:pt>
              </c:strCache>
            </c:strRef>
          </c:tx>
          <c:spPr>
            <a:ln w="25400">
              <a:solidFill>
                <a:srgbClr val="C0504D">
                  <a:lumMod val="75000"/>
                  <a:alpha val="82000"/>
                </a:srgbClr>
              </a:solidFill>
            </a:ln>
          </c:spPr>
          <c:marker>
            <c:symbol val="diamond"/>
            <c:size val="3"/>
            <c:spPr>
              <a:solidFill>
                <a:schemeClr val="accent2">
                  <a:lumMod val="75000"/>
                </a:schemeClr>
              </a:solidFill>
              <a:ln>
                <a:solidFill>
                  <a:srgbClr val="C0504D">
                    <a:lumMod val="75000"/>
                  </a:srgbClr>
                </a:solidFill>
              </a:ln>
            </c:spPr>
          </c:marker>
          <c:cat>
            <c:numRef>
              <c:f>'Base 100'!$A$8:$A$44</c:f>
              <c:numCache>
                <c:formatCode>[$-409]mmm\-yy;@</c:formatCode>
                <c:ptCount val="26"/>
                <c:pt idx="0">
                  <c:v>39417</c:v>
                </c:pt>
                <c:pt idx="1">
                  <c:v>39448</c:v>
                </c:pt>
                <c:pt idx="2">
                  <c:v>39479</c:v>
                </c:pt>
                <c:pt idx="3">
                  <c:v>39508</c:v>
                </c:pt>
                <c:pt idx="4">
                  <c:v>39539</c:v>
                </c:pt>
                <c:pt idx="5">
                  <c:v>39569</c:v>
                </c:pt>
                <c:pt idx="6">
                  <c:v>39600</c:v>
                </c:pt>
                <c:pt idx="7">
                  <c:v>39630</c:v>
                </c:pt>
                <c:pt idx="8">
                  <c:v>39661</c:v>
                </c:pt>
                <c:pt idx="9">
                  <c:v>39692</c:v>
                </c:pt>
                <c:pt idx="10">
                  <c:v>39722</c:v>
                </c:pt>
                <c:pt idx="11">
                  <c:v>39753</c:v>
                </c:pt>
                <c:pt idx="12">
                  <c:v>39783</c:v>
                </c:pt>
                <c:pt idx="13">
                  <c:v>39814</c:v>
                </c:pt>
                <c:pt idx="14">
                  <c:v>39845</c:v>
                </c:pt>
                <c:pt idx="15">
                  <c:v>39873</c:v>
                </c:pt>
                <c:pt idx="16">
                  <c:v>39904</c:v>
                </c:pt>
                <c:pt idx="17">
                  <c:v>39934</c:v>
                </c:pt>
                <c:pt idx="18">
                  <c:v>39965</c:v>
                </c:pt>
                <c:pt idx="19">
                  <c:v>39995</c:v>
                </c:pt>
                <c:pt idx="20">
                  <c:v>40026</c:v>
                </c:pt>
                <c:pt idx="21">
                  <c:v>40057</c:v>
                </c:pt>
                <c:pt idx="22">
                  <c:v>40087</c:v>
                </c:pt>
                <c:pt idx="23">
                  <c:v>40119</c:v>
                </c:pt>
                <c:pt idx="24">
                  <c:v>40150</c:v>
                </c:pt>
                <c:pt idx="25">
                  <c:v>40182</c:v>
                </c:pt>
              </c:numCache>
            </c:numRef>
          </c:cat>
          <c:val>
            <c:numRef>
              <c:f>'Base 100'!$L$8:$L$44</c:f>
              <c:numCache>
                <c:formatCode>General</c:formatCode>
                <c:ptCount val="26"/>
                <c:pt idx="0">
                  <c:v>100</c:v>
                </c:pt>
                <c:pt idx="1">
                  <c:v>103.37823331743034</c:v>
                </c:pt>
                <c:pt idx="2">
                  <c:v>106.31116596486132</c:v>
                </c:pt>
                <c:pt idx="3">
                  <c:v>110.80140637640277</c:v>
                </c:pt>
                <c:pt idx="4">
                  <c:v>114.63117882553051</c:v>
                </c:pt>
                <c:pt idx="5">
                  <c:v>123.3008774295256</c:v>
                </c:pt>
                <c:pt idx="6">
                  <c:v>145.54444190918713</c:v>
                </c:pt>
                <c:pt idx="7">
                  <c:v>150.40262191706944</c:v>
                </c:pt>
                <c:pt idx="8">
                  <c:v>130.60367877367298</c:v>
                </c:pt>
                <c:pt idx="9">
                  <c:v>111.76139828662694</c:v>
                </c:pt>
                <c:pt idx="10">
                  <c:v>76.349063452882234</c:v>
                </c:pt>
                <c:pt idx="11">
                  <c:v>51.571822688709581</c:v>
                </c:pt>
                <c:pt idx="12">
                  <c:v>56.845454168308827</c:v>
                </c:pt>
                <c:pt idx="13">
                  <c:v>59.713435250679339</c:v>
                </c:pt>
                <c:pt idx="14">
                  <c:v>66.702794084092176</c:v>
                </c:pt>
                <c:pt idx="15">
                  <c:v>68.2222199174428</c:v>
                </c:pt>
                <c:pt idx="16">
                  <c:v>79.737403804268908</c:v>
                </c:pt>
                <c:pt idx="17">
                  <c:v>80.596382418220657</c:v>
                </c:pt>
                <c:pt idx="18">
                  <c:v>83.064961936567869</c:v>
                </c:pt>
                <c:pt idx="19">
                  <c:v>84.760029247650849</c:v>
                </c:pt>
                <c:pt idx="20">
                  <c:v>88.092799062415722</c:v>
                </c:pt>
                <c:pt idx="21">
                  <c:v>84.057152191499512</c:v>
                </c:pt>
                <c:pt idx="22">
                  <c:v>80.177591321122605</c:v>
                </c:pt>
                <c:pt idx="23">
                  <c:v>86.011507187454612</c:v>
                </c:pt>
                <c:pt idx="24">
                  <c:v>89.902269285817979</c:v>
                </c:pt>
                <c:pt idx="25">
                  <c:v>96.803874795162727</c:v>
                </c:pt>
              </c:numCache>
            </c:numRef>
          </c:val>
        </c:ser>
        <c:ser>
          <c:idx val="3"/>
          <c:order val="3"/>
          <c:tx>
            <c:strRef>
              <c:f>'Base 100'!$M$1</c:f>
              <c:strCache>
                <c:ptCount val="1"/>
                <c:pt idx="0">
                  <c:v>Coils 304(2B) 1,2mm </c:v>
                </c:pt>
              </c:strCache>
            </c:strRef>
          </c:tx>
          <c:spPr>
            <a:ln w="19050">
              <a:solidFill>
                <a:schemeClr val="accent4">
                  <a:lumMod val="60000"/>
                  <a:lumOff val="40000"/>
                </a:schemeClr>
              </a:solidFill>
            </a:ln>
          </c:spPr>
          <c:marker>
            <c:symbol val="x"/>
            <c:size val="3"/>
            <c:spPr>
              <a:solidFill>
                <a:schemeClr val="accent4">
                  <a:lumMod val="60000"/>
                  <a:lumOff val="40000"/>
                </a:schemeClr>
              </a:solidFill>
            </c:spPr>
          </c:marker>
          <c:cat>
            <c:numRef>
              <c:f>'Base 100'!$A$8:$A$44</c:f>
              <c:numCache>
                <c:formatCode>[$-409]mmm\-yy;@</c:formatCode>
                <c:ptCount val="26"/>
                <c:pt idx="0">
                  <c:v>39417</c:v>
                </c:pt>
                <c:pt idx="1">
                  <c:v>39448</c:v>
                </c:pt>
                <c:pt idx="2">
                  <c:v>39479</c:v>
                </c:pt>
                <c:pt idx="3">
                  <c:v>39508</c:v>
                </c:pt>
                <c:pt idx="4">
                  <c:v>39539</c:v>
                </c:pt>
                <c:pt idx="5">
                  <c:v>39569</c:v>
                </c:pt>
                <c:pt idx="6">
                  <c:v>39600</c:v>
                </c:pt>
                <c:pt idx="7">
                  <c:v>39630</c:v>
                </c:pt>
                <c:pt idx="8">
                  <c:v>39661</c:v>
                </c:pt>
                <c:pt idx="9">
                  <c:v>39692</c:v>
                </c:pt>
                <c:pt idx="10">
                  <c:v>39722</c:v>
                </c:pt>
                <c:pt idx="11">
                  <c:v>39753</c:v>
                </c:pt>
                <c:pt idx="12">
                  <c:v>39783</c:v>
                </c:pt>
                <c:pt idx="13">
                  <c:v>39814</c:v>
                </c:pt>
                <c:pt idx="14">
                  <c:v>39845</c:v>
                </c:pt>
                <c:pt idx="15">
                  <c:v>39873</c:v>
                </c:pt>
                <c:pt idx="16">
                  <c:v>39904</c:v>
                </c:pt>
                <c:pt idx="17">
                  <c:v>39934</c:v>
                </c:pt>
                <c:pt idx="18">
                  <c:v>39965</c:v>
                </c:pt>
                <c:pt idx="19">
                  <c:v>39995</c:v>
                </c:pt>
                <c:pt idx="20">
                  <c:v>40026</c:v>
                </c:pt>
                <c:pt idx="21">
                  <c:v>40057</c:v>
                </c:pt>
                <c:pt idx="22">
                  <c:v>40087</c:v>
                </c:pt>
                <c:pt idx="23">
                  <c:v>40119</c:v>
                </c:pt>
                <c:pt idx="24">
                  <c:v>40150</c:v>
                </c:pt>
                <c:pt idx="25">
                  <c:v>40182</c:v>
                </c:pt>
              </c:numCache>
            </c:numRef>
          </c:cat>
          <c:val>
            <c:numRef>
              <c:f>'Base 100'!$O$8:$O$44</c:f>
              <c:numCache>
                <c:formatCode>General</c:formatCode>
                <c:ptCount val="26"/>
                <c:pt idx="0">
                  <c:v>100</c:v>
                </c:pt>
                <c:pt idx="1">
                  <c:v>96.013250362245685</c:v>
                </c:pt>
                <c:pt idx="2">
                  <c:v>98.720822195819125</c:v>
                </c:pt>
                <c:pt idx="3">
                  <c:v>101.3537363540938</c:v>
                </c:pt>
                <c:pt idx="4">
                  <c:v>109.68030108114344</c:v>
                </c:pt>
                <c:pt idx="5">
                  <c:v>105.32460992742325</c:v>
                </c:pt>
                <c:pt idx="6">
                  <c:v>100.995105509719</c:v>
                </c:pt>
                <c:pt idx="7">
                  <c:v>102.89693779569691</c:v>
                </c:pt>
                <c:pt idx="8">
                  <c:v>96.769544766265554</c:v>
                </c:pt>
                <c:pt idx="9">
                  <c:v>97.220251625396173</c:v>
                </c:pt>
                <c:pt idx="10">
                  <c:v>88.456885296761115</c:v>
                </c:pt>
                <c:pt idx="11">
                  <c:v>68.448226784289218</c:v>
                </c:pt>
                <c:pt idx="12">
                  <c:v>63.274882687824849</c:v>
                </c:pt>
                <c:pt idx="13">
                  <c:v>63.571347171072112</c:v>
                </c:pt>
                <c:pt idx="14">
                  <c:v>63.571347171072112</c:v>
                </c:pt>
                <c:pt idx="15">
                  <c:v>53.144300809679336</c:v>
                </c:pt>
                <c:pt idx="16">
                  <c:v>55.896148503738566</c:v>
                </c:pt>
                <c:pt idx="17">
                  <c:v>59.240250773027562</c:v>
                </c:pt>
                <c:pt idx="18">
                  <c:v>66.475728716709256</c:v>
                </c:pt>
                <c:pt idx="19">
                  <c:v>75.099650183143581</c:v>
                </c:pt>
                <c:pt idx="20">
                  <c:v>79.11929327082153</c:v>
                </c:pt>
                <c:pt idx="21">
                  <c:v>70.986780303935944</c:v>
                </c:pt>
                <c:pt idx="22">
                  <c:v>70.480936263765386</c:v>
                </c:pt>
                <c:pt idx="23">
                  <c:v>66.903526025383385</c:v>
                </c:pt>
              </c:numCache>
            </c:numRef>
          </c:val>
        </c:ser>
        <c:ser>
          <c:idx val="6"/>
          <c:order val="4"/>
          <c:tx>
            <c:strRef>
              <c:f>'Base 100'!$R$1</c:f>
              <c:strCache>
                <c:ptCount val="1"/>
                <c:pt idx="0">
                  <c:v>API vs Last Dec</c:v>
                </c:pt>
              </c:strCache>
            </c:strRef>
          </c:tx>
          <c:spPr>
            <a:ln w="19050">
              <a:solidFill>
                <a:srgbClr val="FFC000"/>
              </a:solidFill>
            </a:ln>
          </c:spPr>
          <c:marker>
            <c:symbol val="plus"/>
            <c:size val="3"/>
            <c:spPr>
              <a:solidFill>
                <a:srgbClr val="FFC000"/>
              </a:solidFill>
            </c:spPr>
          </c:marker>
          <c:cat>
            <c:numRef>
              <c:f>'Base 100'!$A$8:$A$44</c:f>
              <c:numCache>
                <c:formatCode>[$-409]mmm\-yy;@</c:formatCode>
                <c:ptCount val="26"/>
                <c:pt idx="0">
                  <c:v>39417</c:v>
                </c:pt>
                <c:pt idx="1">
                  <c:v>39448</c:v>
                </c:pt>
                <c:pt idx="2">
                  <c:v>39479</c:v>
                </c:pt>
                <c:pt idx="3">
                  <c:v>39508</c:v>
                </c:pt>
                <c:pt idx="4">
                  <c:v>39539</c:v>
                </c:pt>
                <c:pt idx="5">
                  <c:v>39569</c:v>
                </c:pt>
                <c:pt idx="6">
                  <c:v>39600</c:v>
                </c:pt>
                <c:pt idx="7">
                  <c:v>39630</c:v>
                </c:pt>
                <c:pt idx="8">
                  <c:v>39661</c:v>
                </c:pt>
                <c:pt idx="9">
                  <c:v>39692</c:v>
                </c:pt>
                <c:pt idx="10">
                  <c:v>39722</c:v>
                </c:pt>
                <c:pt idx="11">
                  <c:v>39753</c:v>
                </c:pt>
                <c:pt idx="12">
                  <c:v>39783</c:v>
                </c:pt>
                <c:pt idx="13">
                  <c:v>39814</c:v>
                </c:pt>
                <c:pt idx="14">
                  <c:v>39845</c:v>
                </c:pt>
                <c:pt idx="15">
                  <c:v>39873</c:v>
                </c:pt>
                <c:pt idx="16">
                  <c:v>39904</c:v>
                </c:pt>
                <c:pt idx="17">
                  <c:v>39934</c:v>
                </c:pt>
                <c:pt idx="18">
                  <c:v>39965</c:v>
                </c:pt>
                <c:pt idx="19">
                  <c:v>39995</c:v>
                </c:pt>
                <c:pt idx="20">
                  <c:v>40026</c:v>
                </c:pt>
                <c:pt idx="21">
                  <c:v>40057</c:v>
                </c:pt>
                <c:pt idx="22">
                  <c:v>40087</c:v>
                </c:pt>
                <c:pt idx="23">
                  <c:v>40119</c:v>
                </c:pt>
                <c:pt idx="24">
                  <c:v>40150</c:v>
                </c:pt>
                <c:pt idx="25">
                  <c:v>40182</c:v>
                </c:pt>
              </c:numCache>
            </c:numRef>
          </c:cat>
          <c:val>
            <c:numRef>
              <c:f>'Base 100'!$S$8:$S$43</c:f>
              <c:numCache>
                <c:formatCode>General</c:formatCode>
                <c:ptCount val="25"/>
                <c:pt idx="4">
                  <c:v>101.9</c:v>
                </c:pt>
                <c:pt idx="5">
                  <c:v>102.3</c:v>
                </c:pt>
                <c:pt idx="6">
                  <c:v>103.7</c:v>
                </c:pt>
                <c:pt idx="7">
                  <c:v>104.4</c:v>
                </c:pt>
                <c:pt idx="8">
                  <c:v>106.6</c:v>
                </c:pt>
                <c:pt idx="9">
                  <c:v>107.6</c:v>
                </c:pt>
                <c:pt idx="10">
                  <c:v>108.4</c:v>
                </c:pt>
                <c:pt idx="11">
                  <c:v>108.8</c:v>
                </c:pt>
                <c:pt idx="12">
                  <c:v>109</c:v>
                </c:pt>
                <c:pt idx="13">
                  <c:v>107.69199999999999</c:v>
                </c:pt>
                <c:pt idx="14">
                  <c:v>107.58300000000001</c:v>
                </c:pt>
                <c:pt idx="15">
                  <c:v>107.256</c:v>
                </c:pt>
                <c:pt idx="16">
                  <c:v>107.03800000000001</c:v>
                </c:pt>
                <c:pt idx="17">
                  <c:v>106.60199999999999</c:v>
                </c:pt>
                <c:pt idx="18">
                  <c:v>106.27500000000001</c:v>
                </c:pt>
                <c:pt idx="19">
                  <c:v>106.05699999999999</c:v>
                </c:pt>
                <c:pt idx="20">
                  <c:v>105.94800000000001</c:v>
                </c:pt>
                <c:pt idx="21">
                  <c:v>105.839</c:v>
                </c:pt>
                <c:pt idx="22">
                  <c:v>105.839</c:v>
                </c:pt>
                <c:pt idx="23">
                  <c:v>105.62100000000001</c:v>
                </c:pt>
                <c:pt idx="24">
                  <c:v>104.53100000000001</c:v>
                </c:pt>
              </c:numCache>
            </c:numRef>
          </c:val>
        </c:ser>
        <c:marker val="1"/>
        <c:axId val="99500032"/>
        <c:axId val="99501952"/>
      </c:lineChart>
      <c:dateAx>
        <c:axId val="99500032"/>
        <c:scaling>
          <c:orientation val="minMax"/>
        </c:scaling>
        <c:axPos val="b"/>
        <c:title>
          <c:tx>
            <c:rich>
              <a:bodyPr/>
              <a:lstStyle/>
              <a:p>
                <a:pPr>
                  <a:defRPr/>
                </a:pPr>
                <a:r>
                  <a:rPr lang="fr-FR"/>
                  <a:t>Time</a:t>
                </a:r>
                <a:r>
                  <a:rPr lang="fr-FR" baseline="0"/>
                  <a:t> Period</a:t>
                </a:r>
                <a:endParaRPr lang="fr-FR"/>
              </a:p>
            </c:rich>
          </c:tx>
          <c:layout/>
        </c:title>
        <c:numFmt formatCode="[$-409]mmm\-yy;@" sourceLinked="1"/>
        <c:tickLblPos val="nextTo"/>
        <c:txPr>
          <a:bodyPr rot="2640000"/>
          <a:lstStyle/>
          <a:p>
            <a:pPr>
              <a:defRPr/>
            </a:pPr>
            <a:endParaRPr lang="fr-FR"/>
          </a:p>
        </c:txPr>
        <c:crossAx val="99501952"/>
        <c:crosses val="autoZero"/>
        <c:auto val="1"/>
        <c:lblOffset val="100"/>
      </c:dateAx>
      <c:valAx>
        <c:axId val="99501952"/>
        <c:scaling>
          <c:orientation val="minMax"/>
          <c:max val="160"/>
          <c:min val="40"/>
        </c:scaling>
        <c:axPos val="l"/>
        <c:majorGridlines/>
        <c:title>
          <c:tx>
            <c:rich>
              <a:bodyPr rot="-5400000" vert="horz"/>
              <a:lstStyle/>
              <a:p>
                <a:pPr>
                  <a:defRPr/>
                </a:pPr>
                <a:r>
                  <a:rPr lang="fr-FR"/>
                  <a:t>100 Basis</a:t>
                </a:r>
              </a:p>
            </c:rich>
          </c:tx>
          <c:layout/>
        </c:title>
        <c:numFmt formatCode="General" sourceLinked="1"/>
        <c:tickLblPos val="nextTo"/>
        <c:crossAx val="99500032"/>
        <c:crosses val="autoZero"/>
        <c:crossBetween val="between"/>
        <c:majorUnit val="10"/>
      </c:valAx>
      <c:spPr>
        <a:solidFill>
          <a:schemeClr val="accent3">
            <a:lumMod val="20000"/>
            <a:lumOff val="80000"/>
          </a:schemeClr>
        </a:solidFill>
      </c:spPr>
    </c:plotArea>
    <c:legend>
      <c:legendPos val="r"/>
      <c:layout/>
    </c:legend>
    <c:plotVisOnly val="1"/>
  </c:chart>
  <c:printSettings>
    <c:headerFooter/>
    <c:pageMargins b="0.75000000000000167" l="0.70000000000000062" r="0.70000000000000062" t="0.75000000000000167" header="0.30000000000000032" footer="0.30000000000000032"/>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81646</xdr:colOff>
      <xdr:row>0</xdr:row>
      <xdr:rowOff>54427</xdr:rowOff>
    </xdr:from>
    <xdr:to>
      <xdr:col>1</xdr:col>
      <xdr:colOff>911682</xdr:colOff>
      <xdr:row>2</xdr:row>
      <xdr:rowOff>260260</xdr:rowOff>
    </xdr:to>
    <xdr:pic>
      <xdr:nvPicPr>
        <xdr:cNvPr id="2" name="Picture 1" descr="Main logo Groupe SEB.gif"/>
        <xdr:cNvPicPr>
          <a:picLocks noChangeAspect="1"/>
        </xdr:cNvPicPr>
      </xdr:nvPicPr>
      <xdr:blipFill>
        <a:blip xmlns:r="http://schemas.openxmlformats.org/officeDocument/2006/relationships" r:embed="rId1" cstate="print"/>
        <a:stretch>
          <a:fillRect/>
        </a:stretch>
      </xdr:blipFill>
      <xdr:spPr>
        <a:xfrm>
          <a:off x="299360" y="54427"/>
          <a:ext cx="830036" cy="1117512"/>
        </a:xfrm>
        <a:prstGeom prst="rect">
          <a:avLst/>
        </a:prstGeom>
      </xdr:spPr>
    </xdr:pic>
    <xdr:clientData/>
  </xdr:twoCellAnchor>
  <xdr:twoCellAnchor>
    <xdr:from>
      <xdr:col>6</xdr:col>
      <xdr:colOff>616402</xdr:colOff>
      <xdr:row>14</xdr:row>
      <xdr:rowOff>54429</xdr:rowOff>
    </xdr:from>
    <xdr:to>
      <xdr:col>9</xdr:col>
      <xdr:colOff>108858</xdr:colOff>
      <xdr:row>14</xdr:row>
      <xdr:rowOff>1070748</xdr:rowOff>
    </xdr:to>
    <xdr:pic>
      <xdr:nvPicPr>
        <xdr:cNvPr id="6145" name="Picture 1"/>
        <xdr:cNvPicPr>
          <a:picLocks noChangeArrowheads="1"/>
        </xdr:cNvPicPr>
      </xdr:nvPicPr>
      <xdr:blipFill>
        <a:blip xmlns:r="http://schemas.openxmlformats.org/officeDocument/2006/relationships" r:embed="rId2" cstate="print"/>
        <a:srcRect/>
        <a:stretch>
          <a:fillRect/>
        </a:stretch>
      </xdr:blipFill>
      <xdr:spPr bwMode="auto">
        <a:xfrm>
          <a:off x="4984295" y="3782786"/>
          <a:ext cx="1451884" cy="1016319"/>
        </a:xfrm>
        <a:prstGeom prst="rect">
          <a:avLst/>
        </a:prstGeom>
        <a:noFill/>
        <a:ln w="1">
          <a:noFill/>
          <a:miter lim="800000"/>
          <a:headEnd/>
          <a:tailEnd type="none" w="med" len="med"/>
        </a:ln>
        <a:effectLst/>
      </xdr:spPr>
    </xdr:pic>
    <xdr:clientData fLocksWithSheet="0"/>
  </xdr:twoCellAnchor>
  <xdr:twoCellAnchor>
    <xdr:from>
      <xdr:col>11</xdr:col>
      <xdr:colOff>616402</xdr:colOff>
      <xdr:row>14</xdr:row>
      <xdr:rowOff>54429</xdr:rowOff>
    </xdr:from>
    <xdr:to>
      <xdr:col>14</xdr:col>
      <xdr:colOff>108858</xdr:colOff>
      <xdr:row>14</xdr:row>
      <xdr:rowOff>1070748</xdr:rowOff>
    </xdr:to>
    <xdr:pic>
      <xdr:nvPicPr>
        <xdr:cNvPr id="5" name="Picture 1"/>
        <xdr:cNvPicPr>
          <a:picLocks noChangeArrowheads="1"/>
        </xdr:cNvPicPr>
      </xdr:nvPicPr>
      <xdr:blipFill>
        <a:blip xmlns:r="http://schemas.openxmlformats.org/officeDocument/2006/relationships" r:embed="rId2" cstate="print"/>
        <a:srcRect/>
        <a:stretch>
          <a:fillRect/>
        </a:stretch>
      </xdr:blipFill>
      <xdr:spPr bwMode="auto">
        <a:xfrm>
          <a:off x="4984295" y="3782786"/>
          <a:ext cx="1451884" cy="1016319"/>
        </a:xfrm>
        <a:prstGeom prst="rect">
          <a:avLst/>
        </a:prstGeom>
        <a:noFill/>
        <a:ln w="1">
          <a:noFill/>
          <a:miter lim="800000"/>
          <a:headEnd/>
          <a:tailEnd type="none" w="med" len="med"/>
        </a:ln>
        <a:effectLst/>
      </xdr:spPr>
    </xdr:pic>
    <xdr:clientData fLocksWithSheet="0"/>
  </xdr:twoCellAnchor>
  <xdr:twoCellAnchor>
    <xdr:from>
      <xdr:col>16</xdr:col>
      <xdr:colOff>616402</xdr:colOff>
      <xdr:row>14</xdr:row>
      <xdr:rowOff>54429</xdr:rowOff>
    </xdr:from>
    <xdr:to>
      <xdr:col>19</xdr:col>
      <xdr:colOff>108858</xdr:colOff>
      <xdr:row>14</xdr:row>
      <xdr:rowOff>1070748</xdr:rowOff>
    </xdr:to>
    <xdr:pic>
      <xdr:nvPicPr>
        <xdr:cNvPr id="6" name="Picture 1"/>
        <xdr:cNvPicPr>
          <a:picLocks noChangeArrowheads="1"/>
        </xdr:cNvPicPr>
      </xdr:nvPicPr>
      <xdr:blipFill>
        <a:blip xmlns:r="http://schemas.openxmlformats.org/officeDocument/2006/relationships" r:embed="rId2" cstate="print"/>
        <a:srcRect/>
        <a:stretch>
          <a:fillRect/>
        </a:stretch>
      </xdr:blipFill>
      <xdr:spPr bwMode="auto">
        <a:xfrm>
          <a:off x="4984295" y="3782786"/>
          <a:ext cx="1451884" cy="1016319"/>
        </a:xfrm>
        <a:prstGeom prst="rect">
          <a:avLst/>
        </a:prstGeom>
        <a:noFill/>
        <a:ln w="1">
          <a:noFill/>
          <a:miter lim="800000"/>
          <a:headEnd/>
          <a:tailEnd type="none" w="med" len="med"/>
        </a:ln>
        <a:effectLst/>
      </xdr:spPr>
    </xdr:pic>
    <xdr:clientData fLocksWithSheet="0"/>
  </xdr:twoCellAnchor>
  <xdr:twoCellAnchor>
    <xdr:from>
      <xdr:col>21</xdr:col>
      <xdr:colOff>616402</xdr:colOff>
      <xdr:row>14</xdr:row>
      <xdr:rowOff>54429</xdr:rowOff>
    </xdr:from>
    <xdr:to>
      <xdr:col>24</xdr:col>
      <xdr:colOff>108858</xdr:colOff>
      <xdr:row>14</xdr:row>
      <xdr:rowOff>1070748</xdr:rowOff>
    </xdr:to>
    <xdr:pic>
      <xdr:nvPicPr>
        <xdr:cNvPr id="7" name="Picture 1"/>
        <xdr:cNvPicPr>
          <a:picLocks noChangeArrowheads="1"/>
        </xdr:cNvPicPr>
      </xdr:nvPicPr>
      <xdr:blipFill>
        <a:blip xmlns:r="http://schemas.openxmlformats.org/officeDocument/2006/relationships" r:embed="rId2" cstate="print"/>
        <a:srcRect/>
        <a:stretch>
          <a:fillRect/>
        </a:stretch>
      </xdr:blipFill>
      <xdr:spPr bwMode="auto">
        <a:xfrm>
          <a:off x="4984295" y="3782786"/>
          <a:ext cx="1451884" cy="1016319"/>
        </a:xfrm>
        <a:prstGeom prst="rect">
          <a:avLst/>
        </a:prstGeom>
        <a:noFill/>
        <a:ln w="1">
          <a:noFill/>
          <a:miter lim="800000"/>
          <a:headEnd/>
          <a:tailEnd type="none" w="med" len="med"/>
        </a:ln>
        <a:effectLst/>
      </xdr:spPr>
    </xdr:pic>
    <xdr:clientData fLocksWithSheet="0"/>
  </xdr:twoCellAnchor>
</xdr:wsDr>
</file>

<file path=xl/drawings/drawing2.xml><?xml version="1.0" encoding="utf-8"?>
<xdr:wsDr xmlns:xdr="http://schemas.openxmlformats.org/drawingml/2006/spreadsheetDrawing" xmlns:a="http://schemas.openxmlformats.org/drawingml/2006/main">
  <xdr:twoCellAnchor>
    <xdr:from>
      <xdr:col>1</xdr:col>
      <xdr:colOff>390525</xdr:colOff>
      <xdr:row>2</xdr:row>
      <xdr:rowOff>133349</xdr:rowOff>
    </xdr:from>
    <xdr:to>
      <xdr:col>16</xdr:col>
      <xdr:colOff>278296</xdr:colOff>
      <xdr:row>25</xdr:row>
      <xdr:rowOff>123824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380999</xdr:colOff>
      <xdr:row>11</xdr:row>
      <xdr:rowOff>142875</xdr:rowOff>
    </xdr:from>
    <xdr:to>
      <xdr:col>13</xdr:col>
      <xdr:colOff>295274</xdr:colOff>
      <xdr:row>13</xdr:row>
      <xdr:rowOff>76200</xdr:rowOff>
    </xdr:to>
    <xdr:sp macro="" textlink="">
      <xdr:nvSpPr>
        <xdr:cNvPr id="3" name="TextBox 1"/>
        <xdr:cNvSpPr txBox="1"/>
      </xdr:nvSpPr>
      <xdr:spPr>
        <a:xfrm>
          <a:off x="7696199" y="2238375"/>
          <a:ext cx="523875" cy="314325"/>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1100" b="1"/>
            <a:t>104.5</a:t>
          </a:r>
        </a:p>
      </xdr:txBody>
    </xdr:sp>
    <xdr:clientData/>
  </xdr:twoCellAnchor>
</xdr:wsDr>
</file>

<file path=xl/drawings/drawing3.xml><?xml version="1.0" encoding="utf-8"?>
<c:userShapes xmlns:c="http://schemas.openxmlformats.org/drawingml/2006/chart">
  <cdr:relSizeAnchor xmlns:cdr="http://schemas.openxmlformats.org/drawingml/2006/chartDrawing">
    <cdr:from>
      <cdr:x>0.40919</cdr:x>
      <cdr:y>0.37589</cdr:y>
    </cdr:from>
    <cdr:to>
      <cdr:x>0.45559</cdr:x>
      <cdr:y>0.45123</cdr:y>
    </cdr:to>
    <cdr:sp macro="" textlink="">
      <cdr:nvSpPr>
        <cdr:cNvPr id="2" name="TextBox 1"/>
        <cdr:cNvSpPr txBox="1"/>
      </cdr:nvSpPr>
      <cdr:spPr>
        <a:xfrm xmlns:a="http://schemas.openxmlformats.org/drawingml/2006/main">
          <a:off x="3695700" y="1643389"/>
          <a:ext cx="419100" cy="32939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b="1"/>
            <a:t>109</a:t>
          </a: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hyperlink" Target="http://www.shfe.com.cn/estatements/secondpage.jsp?subjectpid=905&amp;subjectid=9054&amp;startpage=1" TargetMode="External"/><Relationship Id="rId18" Type="http://schemas.openxmlformats.org/officeDocument/2006/relationships/hyperlink" Target="http://www.ttiinc.com/page/ME_Materials.html" TargetMode="External"/><Relationship Id="rId26" Type="http://schemas.openxmlformats.org/officeDocument/2006/relationships/hyperlink" Target="http://www.bxgtd.com/" TargetMode="External"/><Relationship Id="rId39" Type="http://schemas.openxmlformats.org/officeDocument/2006/relationships/hyperlink" Target="http://lil93nt/en/jobs/purchasing/common_data/Material_rates/Mat_Followup_StainlessSteel_EN.xlsx" TargetMode="External"/><Relationship Id="rId3" Type="http://schemas.openxmlformats.org/officeDocument/2006/relationships/hyperlink" Target="http://lil93nt/en/jobs/purchasing/common_data/Material_rates/Mat_Followup_Polypropylene_EN.xls" TargetMode="External"/><Relationship Id="rId21" Type="http://schemas.openxmlformats.org/officeDocument/2006/relationships/hyperlink" Target="http://info.china.alibaba.com/news/subject/v6-s5008352.html" TargetMode="External"/><Relationship Id="rId34" Type="http://schemas.openxmlformats.org/officeDocument/2006/relationships/hyperlink" Target="http://www.hxsteel.cn/list/tsteel/list_2_0_0_1.html" TargetMode="External"/><Relationship Id="rId42" Type="http://schemas.openxmlformats.org/officeDocument/2006/relationships/hyperlink" Target="http://www.bxgtd.com/" TargetMode="External"/><Relationship Id="rId47" Type="http://schemas.openxmlformats.org/officeDocument/2006/relationships/hyperlink" Target="http://www.nhh.com.hk/" TargetMode="External"/><Relationship Id="rId50" Type="http://schemas.openxmlformats.org/officeDocument/2006/relationships/hyperlink" Target="http://www.nhh.com.hk/" TargetMode="External"/><Relationship Id="rId7" Type="http://schemas.openxmlformats.org/officeDocument/2006/relationships/hyperlink" Target="http://www.shfe.com.cn/Ehome/index.jsp" TargetMode="External"/><Relationship Id="rId12" Type="http://schemas.openxmlformats.org/officeDocument/2006/relationships/hyperlink" Target="http://www.bxgtd.com/" TargetMode="External"/><Relationship Id="rId17" Type="http://schemas.openxmlformats.org/officeDocument/2006/relationships/hyperlink" Target="http://www.bxgtd.com/" TargetMode="External"/><Relationship Id="rId25" Type="http://schemas.openxmlformats.org/officeDocument/2006/relationships/hyperlink" Target="http://lil93nt/en/jobs/purchasing/common_data/Material_rates/Mat_Followup_StainlessSteel_EN.xlsx" TargetMode="External"/><Relationship Id="rId33" Type="http://schemas.openxmlformats.org/officeDocument/2006/relationships/hyperlink" Target="http://46674.mojugang.org/qg.html" TargetMode="External"/><Relationship Id="rId38" Type="http://schemas.openxmlformats.org/officeDocument/2006/relationships/hyperlink" Target="http://www.bxgtd.com/" TargetMode="External"/><Relationship Id="rId46" Type="http://schemas.openxmlformats.org/officeDocument/2006/relationships/hyperlink" Target="http://www.nhh.com.hk/" TargetMode="External"/><Relationship Id="rId2" Type="http://schemas.openxmlformats.org/officeDocument/2006/relationships/hyperlink" Target="http://lil93nt/en/jobs/purchasing/common_data/Material_rates/Mat_Followup_Phenolic_EN.xls" TargetMode="External"/><Relationship Id="rId16" Type="http://schemas.openxmlformats.org/officeDocument/2006/relationships/hyperlink" Target="http://www.nhh.com.hk/" TargetMode="External"/><Relationship Id="rId20" Type="http://schemas.openxmlformats.org/officeDocument/2006/relationships/hyperlink" Target="http://www.chinaccm.com/" TargetMode="External"/><Relationship Id="rId29" Type="http://schemas.openxmlformats.org/officeDocument/2006/relationships/hyperlink" Target="http://lil93nt/en/jobs/purchasing/common_data/Material_rates/NON%20FERROUS%20ALUMINUM-COPPER-NICKEL-SILVER.xlsm" TargetMode="External"/><Relationship Id="rId41" Type="http://schemas.openxmlformats.org/officeDocument/2006/relationships/hyperlink" Target="http://www.bxgtd.com/" TargetMode="External"/><Relationship Id="rId54" Type="http://schemas.openxmlformats.org/officeDocument/2006/relationships/comments" Target="../comments1.xml"/><Relationship Id="rId1" Type="http://schemas.openxmlformats.org/officeDocument/2006/relationships/hyperlink" Target="http://www.oanda.com/convert/fxhistory" TargetMode="External"/><Relationship Id="rId6" Type="http://schemas.openxmlformats.org/officeDocument/2006/relationships/hyperlink" Target="http://www.shfe.com.cn/Ehome/index.jsp" TargetMode="External"/><Relationship Id="rId11" Type="http://schemas.openxmlformats.org/officeDocument/2006/relationships/hyperlink" Target="http://lil93nt/en/jobs/purchasing/common_data/Material_rates/Mat_Followup_Polystyrene_EN.xls" TargetMode="External"/><Relationship Id="rId24" Type="http://schemas.openxmlformats.org/officeDocument/2006/relationships/hyperlink" Target="http://www.bxgtd.com/" TargetMode="External"/><Relationship Id="rId32" Type="http://schemas.openxmlformats.org/officeDocument/2006/relationships/hyperlink" Target="http://search.china.alibaba.com/search/news_search.htm?keywords=PF%CB%DC%C1%CF" TargetMode="External"/><Relationship Id="rId37" Type="http://schemas.openxmlformats.org/officeDocument/2006/relationships/hyperlink" Target="http://www.metalnews.cn/" TargetMode="External"/><Relationship Id="rId40" Type="http://schemas.openxmlformats.org/officeDocument/2006/relationships/hyperlink" Target="http://lil93nt/en/jobs/purchasing/common_data/Material_rates/Mat_Followup_Polypropylene_EN.xls" TargetMode="External"/><Relationship Id="rId45" Type="http://schemas.openxmlformats.org/officeDocument/2006/relationships/hyperlink" Target="http://www.oanda.com/convert/fxhistory" TargetMode="External"/><Relationship Id="rId53" Type="http://schemas.openxmlformats.org/officeDocument/2006/relationships/vmlDrawing" Target="../drawings/vmlDrawing1.vml"/><Relationship Id="rId5" Type="http://schemas.openxmlformats.org/officeDocument/2006/relationships/hyperlink" Target="http://lil93nt/en/jobs/purchasing/common_data/Material_rates/Followup_Alu_Nickel_Copper_dollar_EN.xlsx" TargetMode="External"/><Relationship Id="rId15" Type="http://schemas.openxmlformats.org/officeDocument/2006/relationships/hyperlink" Target="http://www.alu.com.cn/" TargetMode="External"/><Relationship Id="rId23" Type="http://schemas.openxmlformats.org/officeDocument/2006/relationships/hyperlink" Target="http://hi.baidu.com/guhkhjj/blog/item/051c5aa740a6f092d14358b0.html" TargetMode="External"/><Relationship Id="rId28" Type="http://schemas.openxmlformats.org/officeDocument/2006/relationships/hyperlink" Target="http://lil93nt/en/jobs/purchasing/common_data/Material_rates/NON%20FERROUS%20ALUMINUM-COPPER-NICKEL-SILVER.xlsm" TargetMode="External"/><Relationship Id="rId36" Type="http://schemas.openxmlformats.org/officeDocument/2006/relationships/hyperlink" Target="http://www.metalnews.cn/gt/list-600-1.html" TargetMode="External"/><Relationship Id="rId49" Type="http://schemas.openxmlformats.org/officeDocument/2006/relationships/hyperlink" Target="http://www.nhh.com.hk/" TargetMode="External"/><Relationship Id="rId10" Type="http://schemas.openxmlformats.org/officeDocument/2006/relationships/hyperlink" Target="http://lil93nt/en/jobs/purchasing/common_data/Material_rates/SuiviIndicespapier_FR.xls" TargetMode="External"/><Relationship Id="rId19" Type="http://schemas.openxmlformats.org/officeDocument/2006/relationships/hyperlink" Target="http://www.paper.com.cn/en/" TargetMode="External"/><Relationship Id="rId31" Type="http://schemas.openxmlformats.org/officeDocument/2006/relationships/hyperlink" Target="http://intracom/en/jobs/purchasing/common_data/Material_rates/NON%20FERROUS%20ALUMINUM-COPPER-NICKEL-SILVER.xlsm" TargetMode="External"/><Relationship Id="rId44" Type="http://schemas.openxmlformats.org/officeDocument/2006/relationships/hyperlink" Target="http://www.oanda.com/convert/fxhistory" TargetMode="External"/><Relationship Id="rId52" Type="http://schemas.openxmlformats.org/officeDocument/2006/relationships/printerSettings" Target="../printerSettings/printerSettings1.bin"/><Relationship Id="rId4" Type="http://schemas.openxmlformats.org/officeDocument/2006/relationships/hyperlink" Target="http://lil93nt/en/jobs/purchasing/common_data/Material_rates/SuiviIndicespapier_FR.xls" TargetMode="External"/><Relationship Id="rId9" Type="http://schemas.openxmlformats.org/officeDocument/2006/relationships/hyperlink" Target="http://lil93nt/en/jobs/purchasing/common_data/Material_rates/SuiviIndicespapier_FR.xls" TargetMode="External"/><Relationship Id="rId14" Type="http://schemas.openxmlformats.org/officeDocument/2006/relationships/hyperlink" Target="http://www.shfe.com.cn/Ehome/index.jsp" TargetMode="External"/><Relationship Id="rId22" Type="http://schemas.openxmlformats.org/officeDocument/2006/relationships/hyperlink" Target="http://www.oanda.com/convert/fxhistory" TargetMode="External"/><Relationship Id="rId27" Type="http://schemas.openxmlformats.org/officeDocument/2006/relationships/hyperlink" Target="http://www.bxgtd.com/" TargetMode="External"/><Relationship Id="rId30" Type="http://schemas.openxmlformats.org/officeDocument/2006/relationships/hyperlink" Target="http://lil93nt/en/jobs/purchasing/common_data/Material_rates/NON%20FERROUS%20ALUMINUM-" TargetMode="External"/><Relationship Id="rId35" Type="http://schemas.openxmlformats.org/officeDocument/2006/relationships/hyperlink" Target="http://www.smm.cn/Price/PriceToday.aspx" TargetMode="External"/><Relationship Id="rId43" Type="http://schemas.openxmlformats.org/officeDocument/2006/relationships/hyperlink" Target="http://www.bxgtd.com/" TargetMode="External"/><Relationship Id="rId48" Type="http://schemas.openxmlformats.org/officeDocument/2006/relationships/hyperlink" Target="http://www.nhh.com.hk/" TargetMode="External"/><Relationship Id="rId8" Type="http://schemas.openxmlformats.org/officeDocument/2006/relationships/hyperlink" Target="http://www.nhh.com.hk/" TargetMode="External"/><Relationship Id="rId51" Type="http://schemas.openxmlformats.org/officeDocument/2006/relationships/hyperlink" Target="http://intracom/en/jobs/purchasing/common_data/Material_rates/NON%20FERROUS%20ALUMINUM-COPPER-NICKEL-SILVER.xls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lil93nt/en/jobs/purchasing/common_data/Material_rates/Mat_Followup_Polypropylene_EN.xls"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3"/>
  <dimension ref="A1:BF217"/>
  <sheetViews>
    <sheetView zoomScale="80" zoomScaleNormal="80" workbookViewId="0">
      <pane xSplit="8" ySplit="6" topLeftCell="AL10" activePane="bottomRight" state="frozen"/>
      <selection pane="topRight" activeCell="H1" sqref="H1"/>
      <selection pane="bottomLeft" activeCell="A4" sqref="A4"/>
      <selection pane="bottomRight" activeCell="A41" sqref="A41:XFD41"/>
    </sheetView>
  </sheetViews>
  <sheetFormatPr defaultRowHeight="15" outlineLevelRow="1" outlineLevelCol="1"/>
  <cols>
    <col min="1" max="1" width="23.5703125" customWidth="1" outlineLevel="1"/>
    <col min="2" max="2" width="16.85546875" customWidth="1" outlineLevel="1"/>
    <col min="3" max="3" width="14.140625" style="160" customWidth="1" outlineLevel="1"/>
    <col min="4" max="4" width="15.7109375" customWidth="1" outlineLevel="1"/>
    <col min="5" max="5" width="14.5703125" customWidth="1"/>
    <col min="6" max="6" width="10.5703125" customWidth="1"/>
    <col min="7" max="7" width="10.42578125" customWidth="1"/>
    <col min="8" max="8" width="30.140625" customWidth="1"/>
    <col min="9" max="9" width="9.7109375" customWidth="1"/>
    <col min="10" max="18" width="9.5703125" bestFit="1" customWidth="1"/>
    <col min="19" max="19" width="9" customWidth="1"/>
    <col min="20" max="32" width="9.5703125" bestFit="1" customWidth="1"/>
    <col min="33" max="34" width="9.140625" bestFit="1" customWidth="1"/>
    <col min="35" max="35" width="9.5703125" bestFit="1" customWidth="1"/>
    <col min="36" max="45" width="9.140625" customWidth="1"/>
    <col min="46" max="56" width="9.140625" hidden="1" customWidth="1" outlineLevel="1"/>
    <col min="57" max="57" width="9" hidden="1" customWidth="1" outlineLevel="1"/>
    <col min="58" max="58" width="9" customWidth="1" collapsed="1"/>
    <col min="59" max="59" width="9" customWidth="1"/>
  </cols>
  <sheetData>
    <row r="1" spans="1:56" ht="22.5">
      <c r="E1" s="9" t="s">
        <v>65</v>
      </c>
    </row>
    <row r="2" spans="1:56" ht="18">
      <c r="E2" s="8" t="s">
        <v>68</v>
      </c>
      <c r="F2" s="10" t="s">
        <v>571</v>
      </c>
    </row>
    <row r="3" spans="1:56" ht="18">
      <c r="E3" s="8" t="s">
        <v>69</v>
      </c>
      <c r="F3" s="11">
        <v>40210</v>
      </c>
      <c r="G3" s="17"/>
    </row>
    <row r="4" spans="1:56" ht="18">
      <c r="E4" s="8" t="s">
        <v>67</v>
      </c>
      <c r="F4" s="12">
        <v>40179</v>
      </c>
      <c r="G4" s="168" t="s">
        <v>573</v>
      </c>
    </row>
    <row r="5" spans="1:56" ht="17.25" customHeight="1">
      <c r="G5" s="17"/>
    </row>
    <row r="6" spans="1:56" s="7" customFormat="1">
      <c r="A6" s="56" t="s">
        <v>39</v>
      </c>
      <c r="B6" s="56" t="s">
        <v>22</v>
      </c>
      <c r="C6" s="57" t="s">
        <v>1</v>
      </c>
      <c r="D6" s="57" t="s">
        <v>6</v>
      </c>
      <c r="E6" s="58" t="s">
        <v>61</v>
      </c>
      <c r="F6" s="59" t="s">
        <v>27</v>
      </c>
      <c r="G6" s="58" t="s">
        <v>5</v>
      </c>
      <c r="H6" s="59" t="s">
        <v>38</v>
      </c>
      <c r="I6" s="60">
        <v>39083</v>
      </c>
      <c r="J6" s="60">
        <v>39114</v>
      </c>
      <c r="K6" s="60">
        <v>39142</v>
      </c>
      <c r="L6" s="60">
        <v>39173</v>
      </c>
      <c r="M6" s="60">
        <v>39203</v>
      </c>
      <c r="N6" s="60">
        <v>39234</v>
      </c>
      <c r="O6" s="60">
        <v>39264</v>
      </c>
      <c r="P6" s="60">
        <v>39295</v>
      </c>
      <c r="Q6" s="60">
        <v>39326</v>
      </c>
      <c r="R6" s="60">
        <v>39356</v>
      </c>
      <c r="S6" s="60">
        <v>39387</v>
      </c>
      <c r="T6" s="60">
        <v>39417</v>
      </c>
      <c r="U6" s="60">
        <v>39448</v>
      </c>
      <c r="V6" s="60">
        <v>39479</v>
      </c>
      <c r="W6" s="60">
        <v>39508</v>
      </c>
      <c r="X6" s="60">
        <v>39539</v>
      </c>
      <c r="Y6" s="60">
        <v>39569</v>
      </c>
      <c r="Z6" s="60">
        <v>39600</v>
      </c>
      <c r="AA6" s="60">
        <v>39630</v>
      </c>
      <c r="AB6" s="60">
        <v>39661</v>
      </c>
      <c r="AC6" s="60">
        <v>39692</v>
      </c>
      <c r="AD6" s="60">
        <v>39722</v>
      </c>
      <c r="AE6" s="60">
        <v>39753</v>
      </c>
      <c r="AF6" s="60">
        <v>39783</v>
      </c>
      <c r="AG6" s="60">
        <v>39814</v>
      </c>
      <c r="AH6" s="60">
        <v>39845</v>
      </c>
      <c r="AI6" s="60">
        <v>39873</v>
      </c>
      <c r="AJ6" s="60">
        <v>39904</v>
      </c>
      <c r="AK6" s="60">
        <v>39934</v>
      </c>
      <c r="AL6" s="60">
        <v>39965</v>
      </c>
      <c r="AM6" s="60">
        <v>39995</v>
      </c>
      <c r="AN6" s="60">
        <v>40026</v>
      </c>
      <c r="AO6" s="60">
        <v>40057</v>
      </c>
      <c r="AP6" s="60">
        <v>40087</v>
      </c>
      <c r="AQ6" s="60">
        <v>40118</v>
      </c>
      <c r="AR6" s="60">
        <v>40148</v>
      </c>
      <c r="AS6" s="60">
        <v>40179</v>
      </c>
      <c r="AT6" s="60">
        <v>40210</v>
      </c>
      <c r="AU6" s="60">
        <v>40238</v>
      </c>
      <c r="AV6" s="60">
        <v>40269</v>
      </c>
      <c r="AW6" s="60">
        <v>40299</v>
      </c>
      <c r="AX6" s="60">
        <v>40330</v>
      </c>
      <c r="AY6" s="60">
        <v>40360</v>
      </c>
      <c r="AZ6" s="60">
        <v>40391</v>
      </c>
      <c r="BA6" s="60">
        <v>40422</v>
      </c>
      <c r="BB6" s="60">
        <v>40452</v>
      </c>
      <c r="BC6" s="60">
        <v>40483</v>
      </c>
      <c r="BD6" s="60">
        <v>40513</v>
      </c>
    </row>
    <row r="7" spans="1:56" ht="18.75" customHeight="1">
      <c r="A7" s="45" t="s">
        <v>20</v>
      </c>
      <c r="B7" s="45" t="s">
        <v>12</v>
      </c>
      <c r="C7" s="151" t="s">
        <v>538</v>
      </c>
      <c r="D7" s="150" t="s">
        <v>0</v>
      </c>
      <c r="E7" s="61" t="s">
        <v>5</v>
      </c>
      <c r="F7" s="44"/>
      <c r="G7" s="45" t="s">
        <v>13</v>
      </c>
      <c r="H7" s="65" t="s">
        <v>49</v>
      </c>
      <c r="I7" s="43">
        <v>7.8015483870967737</v>
      </c>
      <c r="J7" s="43">
        <v>7.7631249999999996</v>
      </c>
      <c r="K7" s="43">
        <v>7.748619354838711</v>
      </c>
      <c r="L7" s="43">
        <v>7.7351266666666678</v>
      </c>
      <c r="M7" s="43">
        <v>7.6882516129032243</v>
      </c>
      <c r="N7" s="43">
        <v>7.6438666666666659</v>
      </c>
      <c r="O7" s="43">
        <v>7.5877000000000008</v>
      </c>
      <c r="P7" s="43">
        <v>7.5848483870967724</v>
      </c>
      <c r="Q7" s="43">
        <v>7.5334933333333334</v>
      </c>
      <c r="R7" s="43">
        <v>7.5134645161290345</v>
      </c>
      <c r="S7" s="43">
        <v>7.4334133333333314</v>
      </c>
      <c r="T7" s="43">
        <v>7.3831548387096779</v>
      </c>
      <c r="U7" s="43">
        <v>7.2588322580645137</v>
      </c>
      <c r="V7" s="43">
        <v>7.184853846153846</v>
      </c>
      <c r="W7" s="43">
        <v>7.0875000000000004</v>
      </c>
      <c r="X7" s="43">
        <v>7.12</v>
      </c>
      <c r="Y7" s="43">
        <v>6.984</v>
      </c>
      <c r="Z7" s="43">
        <v>6.9109999999999996</v>
      </c>
      <c r="AA7" s="43">
        <v>6.8470000000000004</v>
      </c>
      <c r="AB7" s="43">
        <v>6.8609999999999998</v>
      </c>
      <c r="AC7" s="43">
        <v>6.8498999999999999</v>
      </c>
      <c r="AD7" s="43">
        <v>6.8520000000000003</v>
      </c>
      <c r="AE7" s="43">
        <v>6.8410000000000002</v>
      </c>
      <c r="AF7" s="43">
        <v>6.867</v>
      </c>
      <c r="AG7" s="43">
        <v>6.8470000000000004</v>
      </c>
      <c r="AH7" s="43">
        <v>6.8460000000000001</v>
      </c>
      <c r="AI7" s="43">
        <v>6.8461699999999999</v>
      </c>
      <c r="AJ7" s="43">
        <v>6.8422700000000001</v>
      </c>
      <c r="AK7" s="43">
        <v>6.8336800000000002</v>
      </c>
      <c r="AL7" s="43">
        <v>6.8440099999999999</v>
      </c>
      <c r="AM7" s="43">
        <v>6.8420899999999998</v>
      </c>
      <c r="AN7" s="43">
        <v>6.8421000000000003</v>
      </c>
      <c r="AO7" s="43">
        <v>6.8390399999999998</v>
      </c>
      <c r="AP7" s="43">
        <v>6.8363699999999996</v>
      </c>
      <c r="AQ7" s="43">
        <v>6.8355499999999996</v>
      </c>
      <c r="AR7" s="43">
        <v>6.8361599999999996</v>
      </c>
      <c r="AS7" s="167">
        <v>6.83467</v>
      </c>
      <c r="AT7" s="43"/>
      <c r="AU7" s="43"/>
      <c r="AV7" s="43"/>
      <c r="AW7" s="43"/>
      <c r="AX7" s="43"/>
      <c r="AY7" s="43"/>
      <c r="AZ7" s="43"/>
      <c r="BA7" s="46"/>
      <c r="BB7" s="46"/>
      <c r="BC7" s="46"/>
      <c r="BD7" s="46"/>
    </row>
    <row r="8" spans="1:56" ht="18.75" customHeight="1">
      <c r="A8" s="43" t="s">
        <v>21</v>
      </c>
      <c r="B8" s="45" t="s">
        <v>12</v>
      </c>
      <c r="C8" s="151" t="s">
        <v>25</v>
      </c>
      <c r="D8" s="150" t="s">
        <v>0</v>
      </c>
      <c r="E8" s="61" t="s">
        <v>5</v>
      </c>
      <c r="F8" s="44"/>
      <c r="G8" s="43" t="s">
        <v>15</v>
      </c>
      <c r="H8" s="65" t="s">
        <v>50</v>
      </c>
      <c r="I8" s="43">
        <v>0.1285</v>
      </c>
      <c r="J8" s="43">
        <v>0.12909999999999999</v>
      </c>
      <c r="K8" s="43">
        <v>0.1293</v>
      </c>
      <c r="L8" s="43">
        <v>0.12959999999999999</v>
      </c>
      <c r="M8" s="43">
        <v>0.13</v>
      </c>
      <c r="N8" s="43">
        <v>0.13109999999999999</v>
      </c>
      <c r="O8" s="43">
        <v>0.1321</v>
      </c>
      <c r="P8" s="43">
        <v>0.1321</v>
      </c>
      <c r="Q8" s="43">
        <v>0.13300000000000001</v>
      </c>
      <c r="R8" s="43">
        <v>0.13339999999999999</v>
      </c>
      <c r="S8" s="43">
        <v>0.1348</v>
      </c>
      <c r="T8" s="43">
        <v>0.1358</v>
      </c>
      <c r="U8" s="43">
        <v>0.13815</v>
      </c>
      <c r="V8" s="43">
        <v>0.13965</v>
      </c>
      <c r="W8" s="43">
        <v>0.14150000000000001</v>
      </c>
      <c r="X8" s="43">
        <v>0.14326</v>
      </c>
      <c r="Y8" s="43">
        <v>0.14358000000000001</v>
      </c>
      <c r="Z8" s="43">
        <v>0.14512</v>
      </c>
      <c r="AA8" s="43">
        <v>0.14648</v>
      </c>
      <c r="AB8" s="43">
        <v>0.14617000000000002</v>
      </c>
      <c r="AC8" s="43">
        <v>0.14651</v>
      </c>
      <c r="AD8" s="43">
        <v>0.14649599999999999</v>
      </c>
      <c r="AE8" s="43">
        <v>0.14668</v>
      </c>
      <c r="AF8" s="43">
        <v>0.14615800000000001</v>
      </c>
      <c r="AG8" s="43">
        <v>0.14649999999999999</v>
      </c>
      <c r="AH8" s="43">
        <v>0.14649999999999999</v>
      </c>
      <c r="AI8" s="43">
        <v>0.14649999999999999</v>
      </c>
      <c r="AJ8" s="43">
        <v>0.14657999999999999</v>
      </c>
      <c r="AK8" s="43">
        <v>0.14676</v>
      </c>
      <c r="AL8" s="43">
        <v>0.14655000000000001</v>
      </c>
      <c r="AM8" s="43">
        <v>0.14659</v>
      </c>
      <c r="AN8" s="43">
        <v>0.14657000000000001</v>
      </c>
      <c r="AO8" s="43">
        <v>0.14668999999999999</v>
      </c>
      <c r="AP8" s="43">
        <v>0.14668999999999999</v>
      </c>
      <c r="AQ8" s="43">
        <v>0.14665</v>
      </c>
      <c r="AR8" s="43">
        <v>0.14666999999999999</v>
      </c>
      <c r="AS8" s="43">
        <v>0.14663999999999999</v>
      </c>
      <c r="AT8" s="43"/>
      <c r="AU8" s="43"/>
      <c r="AV8" s="43"/>
      <c r="AW8" s="43"/>
      <c r="AX8" s="43"/>
      <c r="AY8" s="43"/>
      <c r="AZ8" s="43"/>
      <c r="BA8" s="46"/>
      <c r="BB8" s="46"/>
      <c r="BC8" s="46"/>
      <c r="BD8" s="46"/>
    </row>
    <row r="9" spans="1:56" ht="18.75" customHeight="1">
      <c r="A9" s="45" t="s">
        <v>34</v>
      </c>
      <c r="B9" s="45" t="s">
        <v>12</v>
      </c>
      <c r="C9" s="151" t="s">
        <v>564</v>
      </c>
      <c r="D9" s="150" t="s">
        <v>0</v>
      </c>
      <c r="E9" s="61" t="s">
        <v>5</v>
      </c>
      <c r="F9" s="44"/>
      <c r="G9" s="45" t="s">
        <v>15</v>
      </c>
      <c r="H9" s="65" t="s">
        <v>52</v>
      </c>
      <c r="I9" s="43">
        <v>1.30019</v>
      </c>
      <c r="J9" s="43">
        <v>1.3068</v>
      </c>
      <c r="K9" s="43">
        <v>1.3239700000000001</v>
      </c>
      <c r="L9" s="43">
        <v>1.3502000000000001</v>
      </c>
      <c r="M9" s="43">
        <v>1.3525</v>
      </c>
      <c r="N9" s="43">
        <v>1.34213</v>
      </c>
      <c r="O9" s="43">
        <v>1.3708499999999999</v>
      </c>
      <c r="P9" s="43">
        <v>1.36337</v>
      </c>
      <c r="Q9" s="43">
        <v>1.3887499999999999</v>
      </c>
      <c r="R9" s="43">
        <v>1.42292</v>
      </c>
      <c r="S9" s="43">
        <v>1.4669399999999999</v>
      </c>
      <c r="T9" s="43">
        <v>1.4562299999999999</v>
      </c>
      <c r="U9" s="43">
        <v>1.4703299999999999</v>
      </c>
      <c r="V9" s="43">
        <v>1.47109</v>
      </c>
      <c r="W9" s="43">
        <v>1.5488299999999999</v>
      </c>
      <c r="X9" s="43">
        <v>1.57647</v>
      </c>
      <c r="Y9" s="43">
        <v>1.5563199999999999</v>
      </c>
      <c r="Z9" s="43">
        <v>1.5574300000000001</v>
      </c>
      <c r="AA9" s="43">
        <v>1.5783799999999999</v>
      </c>
      <c r="AB9" s="43">
        <v>1.4997799999999999</v>
      </c>
      <c r="AC9" s="43">
        <v>1.4398</v>
      </c>
      <c r="AD9" s="43">
        <v>1.3365499999999999</v>
      </c>
      <c r="AE9" s="43">
        <v>1.2712399999999999</v>
      </c>
      <c r="AF9" s="43">
        <v>1.34718</v>
      </c>
      <c r="AG9" s="43">
        <v>1.3359099999999999</v>
      </c>
      <c r="AH9" s="43">
        <v>1.2817099999999999</v>
      </c>
      <c r="AI9" s="43">
        <v>1.3038000000000001</v>
      </c>
      <c r="AJ9" s="43">
        <v>1.32087</v>
      </c>
      <c r="AK9" s="43">
        <v>1.36365</v>
      </c>
      <c r="AL9" s="43">
        <v>1.40161</v>
      </c>
      <c r="AM9" s="43">
        <v>1.4074199999999999</v>
      </c>
      <c r="AN9" s="43">
        <v>1.42577</v>
      </c>
      <c r="AO9" s="43">
        <v>1.4551799999999999</v>
      </c>
      <c r="AP9" s="43">
        <v>1.48102</v>
      </c>
      <c r="AQ9" s="43">
        <v>1.4899</v>
      </c>
      <c r="AR9" s="43">
        <v>1.4606399999999999</v>
      </c>
      <c r="AS9" s="43">
        <v>1.4284399999999999</v>
      </c>
      <c r="AT9" s="43"/>
      <c r="AU9" s="43"/>
      <c r="AV9" s="43"/>
      <c r="AW9" s="43"/>
      <c r="AX9" s="43"/>
      <c r="AY9" s="43"/>
      <c r="AZ9" s="43"/>
      <c r="BA9" s="46"/>
      <c r="BB9" s="46"/>
      <c r="BC9" s="46"/>
      <c r="BD9" s="46"/>
    </row>
    <row r="10" spans="1:56" ht="18.75" customHeight="1">
      <c r="A10" s="43" t="s">
        <v>148</v>
      </c>
      <c r="B10" s="45" t="s">
        <v>12</v>
      </c>
      <c r="C10" s="151" t="s">
        <v>25</v>
      </c>
      <c r="D10" s="150" t="s">
        <v>0</v>
      </c>
      <c r="E10" s="61" t="s">
        <v>5</v>
      </c>
      <c r="F10" s="44"/>
      <c r="G10" s="43" t="s">
        <v>15</v>
      </c>
      <c r="H10" s="65" t="s">
        <v>151</v>
      </c>
      <c r="I10" s="43">
        <v>1.95831</v>
      </c>
      <c r="J10" s="43">
        <v>1.95818</v>
      </c>
      <c r="K10" s="43">
        <v>1.9473499999999999</v>
      </c>
      <c r="L10" s="43">
        <v>1.9860599999999999</v>
      </c>
      <c r="M10" s="43">
        <v>1.9847699999999999</v>
      </c>
      <c r="N10" s="43">
        <v>1.9850099999999999</v>
      </c>
      <c r="O10" s="43">
        <v>2.0319400000000001</v>
      </c>
      <c r="P10" s="43">
        <v>2.0123500000000001</v>
      </c>
      <c r="Q10" s="43">
        <v>2.0190800000000002</v>
      </c>
      <c r="R10" s="43">
        <v>2.04365</v>
      </c>
      <c r="S10" s="43">
        <v>2.0729799999999998</v>
      </c>
      <c r="T10" s="43">
        <v>2.01966</v>
      </c>
      <c r="U10" s="43">
        <v>1.96963</v>
      </c>
      <c r="V10" s="43">
        <v>1.96234</v>
      </c>
      <c r="W10" s="43">
        <v>2.0009800000000002</v>
      </c>
      <c r="X10" s="43">
        <v>1.98312</v>
      </c>
      <c r="Y10" s="43">
        <v>1.96611</v>
      </c>
      <c r="Z10" s="43">
        <v>1.9678100000000001</v>
      </c>
      <c r="AA10" s="43">
        <v>1.98983</v>
      </c>
      <c r="AB10" s="43">
        <v>1.89463</v>
      </c>
      <c r="AC10" s="43">
        <v>1.80314</v>
      </c>
      <c r="AD10" s="43">
        <v>1.70072</v>
      </c>
      <c r="AE10" s="43">
        <v>1.5369999999999999</v>
      </c>
      <c r="AF10" s="43">
        <v>1.48891</v>
      </c>
      <c r="AG10" s="43">
        <v>1.44964</v>
      </c>
      <c r="AH10" s="43">
        <v>1.44459</v>
      </c>
      <c r="AI10" s="43">
        <v>1.4207000000000001</v>
      </c>
      <c r="AJ10" s="43">
        <v>1.4699</v>
      </c>
      <c r="AK10" s="43">
        <v>1.53952</v>
      </c>
      <c r="AL10" s="43">
        <v>1.6354500000000001</v>
      </c>
      <c r="AM10" s="43">
        <v>1.6360600000000001</v>
      </c>
      <c r="AN10" s="43">
        <v>1.6553800000000001</v>
      </c>
      <c r="AO10" s="43">
        <v>1.6331899999999999</v>
      </c>
      <c r="AP10" s="43">
        <v>1.61639</v>
      </c>
      <c r="AQ10" s="43">
        <v>1.6590499999999999</v>
      </c>
      <c r="AR10" s="43">
        <v>1.62388</v>
      </c>
      <c r="AS10" s="43">
        <v>1.61551</v>
      </c>
      <c r="AT10" s="43"/>
      <c r="AU10" s="43"/>
      <c r="AV10" s="43"/>
      <c r="AW10" s="43"/>
      <c r="AX10" s="43"/>
      <c r="AY10" s="43"/>
      <c r="AZ10" s="43"/>
      <c r="BA10" s="46"/>
      <c r="BB10" s="46"/>
      <c r="BC10" s="46"/>
      <c r="BD10" s="46"/>
    </row>
    <row r="11" spans="1:56" ht="18.75" customHeight="1">
      <c r="A11" s="43" t="s">
        <v>149</v>
      </c>
      <c r="B11" s="45" t="s">
        <v>12</v>
      </c>
      <c r="C11" s="151" t="s">
        <v>538</v>
      </c>
      <c r="D11" s="150" t="s">
        <v>0</v>
      </c>
      <c r="E11" s="61" t="s">
        <v>5</v>
      </c>
      <c r="F11" s="44"/>
      <c r="G11" s="43" t="s">
        <v>13</v>
      </c>
      <c r="H11" s="65" t="s">
        <v>53</v>
      </c>
      <c r="I11" s="43">
        <v>10.1435</v>
      </c>
      <c r="J11" s="43">
        <v>10.1448</v>
      </c>
      <c r="K11" s="43">
        <v>10.258800000000001</v>
      </c>
      <c r="L11" s="43">
        <v>10.443899999999999</v>
      </c>
      <c r="M11" s="43">
        <v>10.398400000000001</v>
      </c>
      <c r="N11" s="43">
        <v>10.259</v>
      </c>
      <c r="O11" s="43">
        <v>10.401400000000001</v>
      </c>
      <c r="P11" s="43">
        <v>10.3408</v>
      </c>
      <c r="Q11" s="43">
        <v>10.4618</v>
      </c>
      <c r="R11" s="43">
        <v>10.690899999999999</v>
      </c>
      <c r="S11" s="43">
        <v>10.9039</v>
      </c>
      <c r="T11" s="43">
        <v>10.7515</v>
      </c>
      <c r="U11" s="43">
        <v>10.672800000000001</v>
      </c>
      <c r="V11" s="43">
        <v>10.5565</v>
      </c>
      <c r="W11" s="43">
        <v>10.976800000000001</v>
      </c>
      <c r="X11" s="43">
        <v>11.0542</v>
      </c>
      <c r="Y11" s="43">
        <v>10.8704</v>
      </c>
      <c r="Z11" s="43">
        <v>10.7637</v>
      </c>
      <c r="AA11" s="43">
        <v>10.8078</v>
      </c>
      <c r="AB11" s="43">
        <v>10.2902</v>
      </c>
      <c r="AC11" s="43">
        <v>9.8623999999999992</v>
      </c>
      <c r="AD11" s="43">
        <v>9.1590000000000007</v>
      </c>
      <c r="AE11" s="43">
        <v>8.6968999999999994</v>
      </c>
      <c r="AF11" s="43">
        <v>9.2512000000000008</v>
      </c>
      <c r="AG11" s="43">
        <v>9.1471</v>
      </c>
      <c r="AH11" s="43">
        <v>8.7751000000000001</v>
      </c>
      <c r="AI11" s="43">
        <v>8.9258299999999995</v>
      </c>
      <c r="AJ11" s="43">
        <v>9.0377700000000001</v>
      </c>
      <c r="AK11" s="43">
        <v>9.3188600000000008</v>
      </c>
      <c r="AL11" s="43">
        <v>9.5926600000000004</v>
      </c>
      <c r="AM11" s="43">
        <v>9.6296499999999998</v>
      </c>
      <c r="AN11" s="43">
        <v>9.7552699999999994</v>
      </c>
      <c r="AO11" s="43">
        <v>9.9519699999999993</v>
      </c>
      <c r="AP11" s="43">
        <v>10.12485</v>
      </c>
      <c r="AQ11" s="43">
        <v>10.184369999999999</v>
      </c>
      <c r="AR11" s="43">
        <v>9.9851799999999997</v>
      </c>
      <c r="AS11" s="43">
        <v>9.76295</v>
      </c>
      <c r="AT11" s="43"/>
      <c r="AU11" s="43"/>
      <c r="AV11" s="43"/>
      <c r="AW11" s="43"/>
      <c r="AX11" s="43"/>
      <c r="AY11" s="43"/>
      <c r="AZ11" s="43"/>
      <c r="BA11" s="46"/>
      <c r="BB11" s="46"/>
      <c r="BC11" s="46"/>
      <c r="BD11" s="46"/>
    </row>
    <row r="12" spans="1:56" ht="18.75" customHeight="1">
      <c r="A12" s="43" t="s">
        <v>35</v>
      </c>
      <c r="B12" s="45" t="s">
        <v>12</v>
      </c>
      <c r="C12" s="151" t="s">
        <v>564</v>
      </c>
      <c r="D12" s="150" t="s">
        <v>0</v>
      </c>
      <c r="E12" s="61" t="s">
        <v>5</v>
      </c>
      <c r="F12" s="44"/>
      <c r="G12" s="43" t="s">
        <v>14</v>
      </c>
      <c r="H12" s="65" t="s">
        <v>54</v>
      </c>
      <c r="I12" s="43">
        <v>9.8799999999999999E-2</v>
      </c>
      <c r="J12" s="43">
        <v>9.8799999999999999E-2</v>
      </c>
      <c r="K12" s="43">
        <v>9.7699999999999995E-2</v>
      </c>
      <c r="L12" s="43">
        <v>9.6000000000000002E-2</v>
      </c>
      <c r="M12" s="43">
        <v>9.64E-2</v>
      </c>
      <c r="N12" s="43">
        <v>9.7699999999999995E-2</v>
      </c>
      <c r="O12" s="43">
        <v>9.64E-2</v>
      </c>
      <c r="P12" s="43">
        <v>9.69E-2</v>
      </c>
      <c r="Q12" s="43">
        <v>9.5799999999999996E-2</v>
      </c>
      <c r="R12" s="43">
        <v>9.3799999999999994E-2</v>
      </c>
      <c r="S12" s="43">
        <v>9.1899999999999996E-2</v>
      </c>
      <c r="T12" s="43">
        <v>9.3299999999999994E-2</v>
      </c>
      <c r="U12" s="43">
        <v>9.3899999999999997E-2</v>
      </c>
      <c r="V12" s="43">
        <v>9.4799999999999995E-2</v>
      </c>
      <c r="W12" s="43">
        <v>9.1399999999999995E-2</v>
      </c>
      <c r="X12" s="43">
        <v>9.0700000000000003E-2</v>
      </c>
      <c r="Y12" s="43">
        <v>9.2200000000000004E-2</v>
      </c>
      <c r="Z12" s="43">
        <v>9.3200000000000005E-2</v>
      </c>
      <c r="AA12" s="43">
        <v>9.2799999999999994E-2</v>
      </c>
      <c r="AB12" s="43">
        <v>9.7500000000000003E-2</v>
      </c>
      <c r="AC12" s="43">
        <v>0.1018</v>
      </c>
      <c r="AD12" s="43">
        <v>0.10970000000000001</v>
      </c>
      <c r="AE12" s="43">
        <v>0.1154</v>
      </c>
      <c r="AF12" s="43">
        <v>0.1087</v>
      </c>
      <c r="AG12" s="43">
        <v>0.10979999999999999</v>
      </c>
      <c r="AH12" s="43">
        <v>0.1143</v>
      </c>
      <c r="AI12" s="43">
        <v>0.1125</v>
      </c>
      <c r="AJ12" s="43">
        <v>0.11101999999999999</v>
      </c>
      <c r="AK12" s="43">
        <v>0.1077</v>
      </c>
      <c r="AL12" s="43">
        <v>0.10459</v>
      </c>
      <c r="AM12" s="43">
        <v>0.10417999999999999</v>
      </c>
      <c r="AN12" s="43">
        <v>0.10285</v>
      </c>
      <c r="AO12" s="43">
        <v>0.10083</v>
      </c>
      <c r="AP12" s="43">
        <v>9.9080000000000001E-2</v>
      </c>
      <c r="AQ12" s="43">
        <v>9.8449999999999996E-2</v>
      </c>
      <c r="AR12" s="43">
        <v>0.10045999999999999</v>
      </c>
      <c r="AS12" s="43">
        <v>0.1027</v>
      </c>
      <c r="AT12" s="43"/>
      <c r="AU12" s="43"/>
      <c r="AV12" s="43"/>
      <c r="AW12" s="43"/>
      <c r="AX12" s="43"/>
      <c r="AY12" s="43"/>
      <c r="AZ12" s="43"/>
      <c r="BA12" s="46"/>
      <c r="BB12" s="46"/>
      <c r="BC12" s="46"/>
      <c r="BD12" s="46"/>
    </row>
    <row r="13" spans="1:56" ht="18.75" customHeight="1">
      <c r="A13" s="45" t="s">
        <v>33</v>
      </c>
      <c r="B13" s="45" t="s">
        <v>12</v>
      </c>
      <c r="C13" s="151" t="s">
        <v>25</v>
      </c>
      <c r="D13" s="150" t="s">
        <v>0</v>
      </c>
      <c r="E13" s="61" t="s">
        <v>5</v>
      </c>
      <c r="F13" s="44"/>
      <c r="G13" s="45" t="s">
        <v>14</v>
      </c>
      <c r="H13" s="65" t="s">
        <v>51</v>
      </c>
      <c r="I13" s="43">
        <v>0.76942999999999995</v>
      </c>
      <c r="J13" s="43">
        <v>0.76549999999999996</v>
      </c>
      <c r="K13" s="43">
        <v>0.75551999999999997</v>
      </c>
      <c r="L13" s="43">
        <v>0.74092000000000002</v>
      </c>
      <c r="M13" s="43">
        <v>0.73960999999999999</v>
      </c>
      <c r="N13" s="43">
        <v>0.74531000000000003</v>
      </c>
      <c r="O13" s="43">
        <v>0.72975000000000001</v>
      </c>
      <c r="P13" s="43">
        <v>0.73372000000000004</v>
      </c>
      <c r="Q13" s="43">
        <v>0.72041999999999995</v>
      </c>
      <c r="R13" s="43">
        <v>0.70301000000000002</v>
      </c>
      <c r="S13" s="43">
        <v>0.68189999999999995</v>
      </c>
      <c r="T13" s="43">
        <v>0.68698000000000004</v>
      </c>
      <c r="U13" s="43">
        <v>0.68032999999999999</v>
      </c>
      <c r="V13" s="43">
        <v>0.68</v>
      </c>
      <c r="W13" s="43">
        <v>0.64593999999999996</v>
      </c>
      <c r="X13" s="43">
        <v>0.63449999999999995</v>
      </c>
      <c r="Y13" s="43">
        <v>0.64273000000000002</v>
      </c>
      <c r="Z13" s="43">
        <v>0.64229000000000003</v>
      </c>
      <c r="AA13" s="43">
        <v>0.63373000000000002</v>
      </c>
      <c r="AB13" s="43">
        <v>0.66725000000000001</v>
      </c>
      <c r="AC13" s="43">
        <v>0.69489999999999996</v>
      </c>
      <c r="AD13" s="43">
        <v>0.74939</v>
      </c>
      <c r="AE13" s="43">
        <v>0.78700000000000003</v>
      </c>
      <c r="AF13" s="43">
        <v>0.74402999999999997</v>
      </c>
      <c r="AG13" s="43">
        <v>0.74929999999999997</v>
      </c>
      <c r="AH13" s="43">
        <v>0.78049999999999997</v>
      </c>
      <c r="AI13" s="43">
        <v>0.76793</v>
      </c>
      <c r="AJ13" s="43">
        <v>0.75739000000000001</v>
      </c>
      <c r="AK13" s="43">
        <v>0.73382000000000003</v>
      </c>
      <c r="AL13" s="43">
        <v>0.7137</v>
      </c>
      <c r="AM13" s="43">
        <v>0.71077000000000001</v>
      </c>
      <c r="AN13" s="43">
        <v>0.7016</v>
      </c>
      <c r="AO13" s="43">
        <v>0.68747000000000003</v>
      </c>
      <c r="AP13" s="43">
        <v>0.67542999999999997</v>
      </c>
      <c r="AQ13" s="43">
        <v>0.67139000000000004</v>
      </c>
      <c r="AR13" s="43">
        <v>0.68501999999999996</v>
      </c>
      <c r="AS13" s="43">
        <v>0.70035000000000003</v>
      </c>
      <c r="AT13" s="43"/>
      <c r="AU13" s="43"/>
      <c r="AV13" s="43"/>
      <c r="AW13" s="43"/>
      <c r="AX13" s="43"/>
      <c r="AY13" s="43"/>
      <c r="AZ13" s="43"/>
      <c r="BA13" s="46"/>
      <c r="BB13" s="46"/>
      <c r="BC13" s="46"/>
      <c r="BD13" s="46"/>
    </row>
    <row r="14" spans="1:56" ht="18.75" customHeight="1">
      <c r="A14" s="39" t="s">
        <v>134</v>
      </c>
      <c r="B14" s="41" t="s">
        <v>56</v>
      </c>
      <c r="C14" s="161" t="s">
        <v>539</v>
      </c>
      <c r="D14" s="41" t="s">
        <v>225</v>
      </c>
      <c r="E14" s="62" t="s">
        <v>62</v>
      </c>
      <c r="F14" s="40" t="s">
        <v>79</v>
      </c>
      <c r="G14" s="39" t="s">
        <v>57</v>
      </c>
      <c r="H14" s="66" t="s">
        <v>160</v>
      </c>
      <c r="I14" s="41">
        <v>19465</v>
      </c>
      <c r="J14" s="41">
        <v>19145</v>
      </c>
      <c r="K14" s="41">
        <v>19225</v>
      </c>
      <c r="L14" s="41">
        <v>19605</v>
      </c>
      <c r="M14" s="41">
        <v>20325</v>
      </c>
      <c r="N14" s="41">
        <v>19600</v>
      </c>
      <c r="O14" s="41">
        <v>19480</v>
      </c>
      <c r="P14" s="41">
        <v>19170</v>
      </c>
      <c r="Q14" s="41">
        <v>19170</v>
      </c>
      <c r="R14" s="41">
        <v>18595</v>
      </c>
      <c r="S14" s="41">
        <v>17965</v>
      </c>
      <c r="T14" s="41">
        <v>18595</v>
      </c>
      <c r="U14" s="41">
        <v>18825</v>
      </c>
      <c r="V14" s="41">
        <v>19590</v>
      </c>
      <c r="W14" s="41">
        <v>20250</v>
      </c>
      <c r="X14" s="41">
        <v>19235</v>
      </c>
      <c r="Y14" s="41">
        <v>18995</v>
      </c>
      <c r="Z14" s="41">
        <v>19350</v>
      </c>
      <c r="AA14" s="41">
        <v>19595</v>
      </c>
      <c r="AB14" s="41">
        <v>18650</v>
      </c>
      <c r="AC14" s="41">
        <v>16910</v>
      </c>
      <c r="AD14" s="41">
        <v>14507.5</v>
      </c>
      <c r="AE14" s="41">
        <v>13750</v>
      </c>
      <c r="AF14" s="41">
        <v>11720</v>
      </c>
      <c r="AG14" s="41">
        <v>12062.5</v>
      </c>
      <c r="AH14" s="41">
        <v>11935</v>
      </c>
      <c r="AI14" s="41">
        <v>12562</v>
      </c>
      <c r="AJ14" s="41">
        <v>13570</v>
      </c>
      <c r="AK14" s="41">
        <v>13110</v>
      </c>
      <c r="AL14" s="41">
        <v>13287.5</v>
      </c>
      <c r="AM14" s="41">
        <v>14260</v>
      </c>
      <c r="AN14" s="41">
        <v>15070</v>
      </c>
      <c r="AO14" s="41">
        <v>14760</v>
      </c>
      <c r="AP14" s="41">
        <v>15135</v>
      </c>
      <c r="AQ14" s="41">
        <v>16002</v>
      </c>
      <c r="AR14" s="41">
        <v>16797.5</v>
      </c>
      <c r="AS14" s="41">
        <v>17342.5</v>
      </c>
      <c r="AT14" s="41"/>
      <c r="AU14" s="41"/>
      <c r="AV14" s="41"/>
      <c r="AW14" s="41"/>
      <c r="AX14" s="41"/>
      <c r="AY14" s="41"/>
      <c r="AZ14" s="41"/>
      <c r="BA14" s="42"/>
      <c r="BB14" s="42"/>
      <c r="BC14" s="42"/>
      <c r="BD14" s="42"/>
    </row>
    <row r="15" spans="1:56" ht="18.75" customHeight="1">
      <c r="A15" s="39" t="s">
        <v>134</v>
      </c>
      <c r="B15" s="41" t="s">
        <v>56</v>
      </c>
      <c r="C15" s="161"/>
      <c r="D15" s="41" t="s">
        <v>139</v>
      </c>
      <c r="E15" s="62" t="s">
        <v>62</v>
      </c>
      <c r="F15" s="40" t="s">
        <v>79</v>
      </c>
      <c r="G15" s="39" t="s">
        <v>58</v>
      </c>
      <c r="H15" s="66" t="s">
        <v>161</v>
      </c>
      <c r="I15" s="41">
        <v>2501.2525000000001</v>
      </c>
      <c r="J15" s="41">
        <v>2471.6194999999998</v>
      </c>
      <c r="K15" s="41">
        <v>2485.7925</v>
      </c>
      <c r="L15" s="41">
        <v>2540.808</v>
      </c>
      <c r="M15" s="41">
        <v>2642.25</v>
      </c>
      <c r="N15" s="41">
        <v>2569.56</v>
      </c>
      <c r="O15" s="41">
        <v>2573.308</v>
      </c>
      <c r="P15" s="41">
        <v>2532.357</v>
      </c>
      <c r="Q15" s="41">
        <v>2549.61</v>
      </c>
      <c r="R15" s="41">
        <v>2480.5729999999999</v>
      </c>
      <c r="S15" s="41">
        <v>2421.6820000000002</v>
      </c>
      <c r="T15" s="41">
        <v>2525.201</v>
      </c>
      <c r="U15" s="41">
        <v>2600.6737499999999</v>
      </c>
      <c r="V15" s="41">
        <v>2735.7435</v>
      </c>
      <c r="W15" s="41">
        <v>2865.3750000000005</v>
      </c>
      <c r="X15" s="41">
        <v>2755.6061</v>
      </c>
      <c r="Y15" s="41">
        <v>2727.3021000000003</v>
      </c>
      <c r="Z15" s="41">
        <v>2808.0720000000001</v>
      </c>
      <c r="AA15" s="41">
        <v>2870.2755999999999</v>
      </c>
      <c r="AB15" s="41">
        <v>2726.0705000000003</v>
      </c>
      <c r="AC15" s="41">
        <v>2477.4841000000001</v>
      </c>
      <c r="AD15" s="41">
        <v>2125.29072</v>
      </c>
      <c r="AE15" s="41">
        <v>2016.8500000000001</v>
      </c>
      <c r="AF15" s="41">
        <v>1712.9717600000001</v>
      </c>
      <c r="AG15" s="41">
        <v>1767.15625</v>
      </c>
      <c r="AH15" s="41">
        <v>1748.4775</v>
      </c>
      <c r="AI15" s="41">
        <f>AI14*AI8</f>
        <v>1840.3329999999999</v>
      </c>
      <c r="AJ15" s="41">
        <f>AJ14*AJ$8</f>
        <v>1989.0905999999998</v>
      </c>
      <c r="AK15" s="41">
        <f t="shared" ref="AK15:BD15" si="0">AK14*AK$8</f>
        <v>1924.0236</v>
      </c>
      <c r="AL15" s="41">
        <f t="shared" si="0"/>
        <v>1947.2831250000002</v>
      </c>
      <c r="AM15" s="41">
        <f t="shared" si="0"/>
        <v>2090.3733999999999</v>
      </c>
      <c r="AN15" s="41">
        <f t="shared" si="0"/>
        <v>2208.8099000000002</v>
      </c>
      <c r="AO15" s="41">
        <f t="shared" si="0"/>
        <v>2165.1443999999997</v>
      </c>
      <c r="AP15" s="41">
        <f t="shared" si="0"/>
        <v>2220.1531499999996</v>
      </c>
      <c r="AQ15" s="41">
        <f t="shared" si="0"/>
        <v>2346.6932999999999</v>
      </c>
      <c r="AR15" s="41">
        <f t="shared" si="0"/>
        <v>2463.6893249999998</v>
      </c>
      <c r="AS15" s="41">
        <f t="shared" si="0"/>
        <v>2543.1041999999998</v>
      </c>
      <c r="AT15" s="41">
        <f t="shared" si="0"/>
        <v>0</v>
      </c>
      <c r="AU15" s="41">
        <f t="shared" si="0"/>
        <v>0</v>
      </c>
      <c r="AV15" s="41">
        <f t="shared" si="0"/>
        <v>0</v>
      </c>
      <c r="AW15" s="41">
        <f t="shared" si="0"/>
        <v>0</v>
      </c>
      <c r="AX15" s="41">
        <f t="shared" si="0"/>
        <v>0</v>
      </c>
      <c r="AY15" s="41">
        <f t="shared" si="0"/>
        <v>0</v>
      </c>
      <c r="AZ15" s="41">
        <f t="shared" si="0"/>
        <v>0</v>
      </c>
      <c r="BA15" s="41">
        <f t="shared" si="0"/>
        <v>0</v>
      </c>
      <c r="BB15" s="41">
        <f t="shared" si="0"/>
        <v>0</v>
      </c>
      <c r="BC15" s="41">
        <f t="shared" si="0"/>
        <v>0</v>
      </c>
      <c r="BD15" s="41">
        <f t="shared" si="0"/>
        <v>0</v>
      </c>
    </row>
    <row r="16" spans="1:56" ht="18.75" customHeight="1">
      <c r="A16" s="41" t="s">
        <v>134</v>
      </c>
      <c r="B16" s="41" t="s">
        <v>83</v>
      </c>
      <c r="C16" s="152" t="s">
        <v>529</v>
      </c>
      <c r="D16" s="41" t="s">
        <v>572</v>
      </c>
      <c r="E16" s="62" t="s">
        <v>62</v>
      </c>
      <c r="F16" s="41" t="s">
        <v>28</v>
      </c>
      <c r="G16" s="41" t="s">
        <v>31</v>
      </c>
      <c r="H16" s="66" t="s">
        <v>162</v>
      </c>
      <c r="I16" s="50">
        <v>2809.340909090909</v>
      </c>
      <c r="J16" s="50">
        <v>2832.2</v>
      </c>
      <c r="K16" s="50">
        <v>2761.7272727272725</v>
      </c>
      <c r="L16" s="50">
        <v>2814.7894736842104</v>
      </c>
      <c r="M16" s="50">
        <v>2794.6904761904761</v>
      </c>
      <c r="N16" s="50">
        <v>2677.4523809523807</v>
      </c>
      <c r="O16" s="50">
        <v>2732.909090909091</v>
      </c>
      <c r="P16" s="50">
        <v>2515.7727272727275</v>
      </c>
      <c r="Q16" s="50">
        <v>2391.25</v>
      </c>
      <c r="R16" s="50">
        <v>2442.3695652173915</v>
      </c>
      <c r="S16" s="50">
        <v>2506.8863636363635</v>
      </c>
      <c r="T16" s="50">
        <v>2381.6944444444443</v>
      </c>
      <c r="U16" s="50">
        <v>2445.5227272727275</v>
      </c>
      <c r="V16" s="50">
        <v>2776.9285714285716</v>
      </c>
      <c r="W16" s="50">
        <v>3005.2894736842104</v>
      </c>
      <c r="X16" s="50">
        <v>2959.2727272727275</v>
      </c>
      <c r="Y16" s="50">
        <v>2902.9</v>
      </c>
      <c r="Z16" s="50">
        <v>2957.8571428571427</v>
      </c>
      <c r="AA16" s="50">
        <v>3071.2391304347825</v>
      </c>
      <c r="AB16" s="50">
        <v>2764.375</v>
      </c>
      <c r="AC16" s="50">
        <v>2525.818181818182</v>
      </c>
      <c r="AD16" s="50">
        <v>2121.413043478261</v>
      </c>
      <c r="AE16" s="50">
        <v>1852.425</v>
      </c>
      <c r="AF16" s="50">
        <v>1490.4285714285713</v>
      </c>
      <c r="AG16" s="50">
        <v>1413.1190476190477</v>
      </c>
      <c r="AH16" s="50">
        <v>1330.2</v>
      </c>
      <c r="AI16" s="50">
        <v>1333.03</v>
      </c>
      <c r="AJ16" s="50">
        <v>1420.34</v>
      </c>
      <c r="AK16" s="50">
        <v>1464.69</v>
      </c>
      <c r="AL16" s="50">
        <v>1573.73</v>
      </c>
      <c r="AM16" s="50">
        <v>1636.37</v>
      </c>
      <c r="AN16" s="50">
        <v>1933.75</v>
      </c>
      <c r="AO16" s="50">
        <v>1834.11</v>
      </c>
      <c r="AP16" s="50">
        <v>1877.4</v>
      </c>
      <c r="AQ16" s="50">
        <v>1949.29</v>
      </c>
      <c r="AR16" s="50">
        <v>2160.36</v>
      </c>
      <c r="AS16" s="50">
        <v>2244.29</v>
      </c>
      <c r="AT16" s="50"/>
      <c r="AU16" s="50"/>
      <c r="AV16" s="50"/>
      <c r="AW16" s="50"/>
      <c r="AX16" s="50"/>
      <c r="AY16" s="50"/>
      <c r="AZ16" s="50"/>
      <c r="BA16" s="42"/>
      <c r="BB16" s="42"/>
      <c r="BC16" s="42"/>
      <c r="BD16" s="42"/>
    </row>
    <row r="17" spans="1:56" ht="18.75" customHeight="1">
      <c r="A17" s="41" t="s">
        <v>509</v>
      </c>
      <c r="B17" s="41" t="s">
        <v>510</v>
      </c>
      <c r="C17" s="152" t="s">
        <v>540</v>
      </c>
      <c r="D17" s="41" t="s">
        <v>511</v>
      </c>
      <c r="E17" s="62" t="s">
        <v>508</v>
      </c>
      <c r="F17" s="41" t="s">
        <v>501</v>
      </c>
      <c r="G17" s="41" t="s">
        <v>502</v>
      </c>
      <c r="H17" s="66" t="s">
        <v>512</v>
      </c>
      <c r="I17" s="50"/>
      <c r="J17" s="50"/>
      <c r="K17" s="50"/>
      <c r="L17" s="50"/>
      <c r="M17" s="50"/>
      <c r="N17" s="50"/>
      <c r="O17" s="50"/>
      <c r="P17" s="50"/>
      <c r="Q17" s="50"/>
      <c r="R17" s="50"/>
      <c r="S17" s="50"/>
      <c r="T17" s="50"/>
      <c r="U17" s="50"/>
      <c r="V17" s="50"/>
      <c r="W17" s="50"/>
      <c r="X17" s="50"/>
      <c r="Y17" s="50"/>
      <c r="Z17" s="50"/>
      <c r="AA17" s="50"/>
      <c r="AB17" s="50"/>
      <c r="AC17" s="50"/>
      <c r="AD17" s="50"/>
      <c r="AE17" s="50"/>
      <c r="AF17" s="50"/>
      <c r="AG17" s="50"/>
      <c r="AH17" s="50"/>
      <c r="AI17" s="50"/>
      <c r="AJ17" s="50"/>
      <c r="AK17" s="50"/>
      <c r="AL17" s="50"/>
      <c r="AM17" s="50"/>
      <c r="AN17" s="50"/>
      <c r="AO17" s="50">
        <v>15550</v>
      </c>
      <c r="AP17" s="50">
        <v>15700</v>
      </c>
      <c r="AQ17" s="50">
        <v>16035</v>
      </c>
      <c r="AR17" s="50">
        <v>17000</v>
      </c>
      <c r="AS17" s="50">
        <v>17600</v>
      </c>
      <c r="AT17" s="50"/>
      <c r="AU17" s="50"/>
      <c r="AV17" s="50"/>
      <c r="AW17" s="50"/>
      <c r="AX17" s="50"/>
      <c r="AY17" s="50"/>
      <c r="AZ17" s="50"/>
      <c r="BA17" s="42"/>
      <c r="BB17" s="42"/>
      <c r="BC17" s="42"/>
      <c r="BD17" s="42"/>
    </row>
    <row r="18" spans="1:56" ht="142.5">
      <c r="A18" s="41" t="s">
        <v>140</v>
      </c>
      <c r="B18" s="41" t="s">
        <v>83</v>
      </c>
      <c r="C18" s="152" t="s">
        <v>529</v>
      </c>
      <c r="D18" s="41" t="s">
        <v>530</v>
      </c>
      <c r="E18" s="62" t="s">
        <v>62</v>
      </c>
      <c r="F18" s="41" t="s">
        <v>28</v>
      </c>
      <c r="G18" s="41" t="s">
        <v>31</v>
      </c>
      <c r="H18" s="66" t="s">
        <v>163</v>
      </c>
      <c r="I18" s="50">
        <v>2218.4545454545455</v>
      </c>
      <c r="J18" s="50">
        <v>2168.15</v>
      </c>
      <c r="K18" s="50">
        <v>2193.0454545454545</v>
      </c>
      <c r="L18" s="50">
        <v>2212.2631578947367</v>
      </c>
      <c r="M18" s="50">
        <v>2188.1666666666665</v>
      </c>
      <c r="N18" s="50">
        <v>2152.2857142857142</v>
      </c>
      <c r="O18" s="50">
        <v>2160.2272727272725</v>
      </c>
      <c r="P18" s="50">
        <v>2130.9545454545455</v>
      </c>
      <c r="Q18" s="50">
        <v>2154.65</v>
      </c>
      <c r="R18" s="50">
        <v>2183.8695652173915</v>
      </c>
      <c r="S18" s="50">
        <v>2264.1363636363635</v>
      </c>
      <c r="T18" s="50">
        <v>2284.8333333333335</v>
      </c>
      <c r="U18" s="50">
        <v>2311.2272727272725</v>
      </c>
      <c r="V18" s="50">
        <v>2504.1428571428573</v>
      </c>
      <c r="W18" s="50">
        <v>2704.7894736842104</v>
      </c>
      <c r="X18" s="50">
        <v>2757.4545454545455</v>
      </c>
      <c r="Y18" s="50">
        <v>2664.6</v>
      </c>
      <c r="Z18" s="50">
        <v>2628.0476190476193</v>
      </c>
      <c r="AA18" s="50">
        <v>2608.8695652173915</v>
      </c>
      <c r="AB18" s="50">
        <v>2457.1750000000002</v>
      </c>
      <c r="AC18" s="50">
        <v>2246.409090909091</v>
      </c>
      <c r="AD18" s="50">
        <v>1683.5434782608695</v>
      </c>
      <c r="AE18" s="50">
        <v>1362.125</v>
      </c>
      <c r="AF18" s="50">
        <v>1126.3571428571429</v>
      </c>
      <c r="AG18" s="50">
        <v>1088.7619047619048</v>
      </c>
      <c r="AH18" s="50">
        <v>1091.6300000000001</v>
      </c>
      <c r="AI18" s="50">
        <v>1171.4000000000001</v>
      </c>
      <c r="AJ18" s="50">
        <v>1300.47</v>
      </c>
      <c r="AK18" s="50">
        <v>1227.6099999999999</v>
      </c>
      <c r="AL18" s="50">
        <v>1335.27</v>
      </c>
      <c r="AM18" s="50">
        <v>1471.89</v>
      </c>
      <c r="AN18" s="50">
        <v>1746.1</v>
      </c>
      <c r="AO18" s="50">
        <v>1680.77</v>
      </c>
      <c r="AP18" s="50">
        <v>1687.9</v>
      </c>
      <c r="AQ18" s="50">
        <v>1750.55</v>
      </c>
      <c r="AR18" s="50">
        <v>1857.36</v>
      </c>
      <c r="AS18" s="50">
        <v>1967.21</v>
      </c>
      <c r="AT18" s="50"/>
      <c r="AU18" s="50"/>
      <c r="AV18" s="50"/>
      <c r="AW18" s="50"/>
      <c r="AX18" s="50"/>
      <c r="AY18" s="50"/>
      <c r="AZ18" s="50"/>
      <c r="BA18" s="42"/>
      <c r="BB18" s="42"/>
      <c r="BC18" s="42"/>
      <c r="BD18" s="42"/>
    </row>
    <row r="19" spans="1:56" ht="18.75" customHeight="1">
      <c r="A19" s="41" t="s">
        <v>196</v>
      </c>
      <c r="B19" s="41" t="s">
        <v>197</v>
      </c>
      <c r="C19" s="152" t="s">
        <v>541</v>
      </c>
      <c r="D19" s="41" t="s">
        <v>494</v>
      </c>
      <c r="E19" s="62" t="s">
        <v>62</v>
      </c>
      <c r="F19" s="41" t="s">
        <v>80</v>
      </c>
      <c r="G19" s="41" t="s">
        <v>32</v>
      </c>
      <c r="H19" s="66" t="s">
        <v>200</v>
      </c>
      <c r="I19" s="41"/>
      <c r="J19" s="41"/>
      <c r="K19" s="41"/>
      <c r="L19" s="41">
        <v>2540</v>
      </c>
      <c r="M19" s="41">
        <v>2858.3333333333335</v>
      </c>
      <c r="N19" s="41"/>
      <c r="O19" s="41"/>
      <c r="P19" s="41">
        <v>3136.6666666666665</v>
      </c>
      <c r="Q19" s="41">
        <v>3330.8333333333335</v>
      </c>
      <c r="R19" s="41"/>
      <c r="S19" s="41">
        <v>3566.8333333333335</v>
      </c>
      <c r="T19" s="41">
        <v>3931.1111111111113</v>
      </c>
      <c r="U19" s="41">
        <v>4123.958333333333</v>
      </c>
      <c r="V19" s="41">
        <v>4357.083333333333</v>
      </c>
      <c r="W19" s="41">
        <v>4848.541666666667</v>
      </c>
      <c r="X19" s="41">
        <v>4913.7931034482763</v>
      </c>
      <c r="Y19" s="41">
        <v>4937.708333333333</v>
      </c>
      <c r="Z19" s="41">
        <v>5102.291666666667</v>
      </c>
      <c r="AA19" s="41">
        <v>5157.5</v>
      </c>
      <c r="AB19" s="41">
        <v>5094.166666666667</v>
      </c>
      <c r="AC19" s="41">
        <v>4862.083333333333</v>
      </c>
      <c r="AD19" s="41">
        <v>3961.304347826087</v>
      </c>
      <c r="AE19" s="41">
        <v>3270.8333333333335</v>
      </c>
      <c r="AF19" s="41">
        <v>3102.0833333333335</v>
      </c>
      <c r="AG19" s="41">
        <v>3104.1666666666665</v>
      </c>
      <c r="AH19" s="41">
        <v>3190</v>
      </c>
      <c r="AI19" s="41">
        <v>3040.4255319148938</v>
      </c>
      <c r="AJ19" s="50">
        <v>2961.6666666666665</v>
      </c>
      <c r="AK19" s="50">
        <v>2878.33</v>
      </c>
      <c r="AL19" s="50">
        <v>2687</v>
      </c>
      <c r="AM19" s="50">
        <v>2930.71</v>
      </c>
      <c r="AN19" s="50">
        <v>3431</v>
      </c>
      <c r="AO19" s="50">
        <v>3061</v>
      </c>
      <c r="AP19" s="50">
        <v>2995</v>
      </c>
      <c r="AQ19" s="50">
        <v>2944</v>
      </c>
      <c r="AR19" s="50">
        <v>3100</v>
      </c>
      <c r="AS19" s="50">
        <v>3285</v>
      </c>
      <c r="AT19" s="50"/>
      <c r="AU19" s="50"/>
      <c r="AV19" s="50"/>
      <c r="AW19" s="50"/>
      <c r="AX19" s="50"/>
      <c r="AY19" s="50"/>
      <c r="AZ19" s="50"/>
      <c r="BA19" s="50"/>
      <c r="BB19" s="50"/>
      <c r="BC19" s="50"/>
      <c r="BD19" s="50"/>
    </row>
    <row r="20" spans="1:56" ht="18.75" customHeight="1">
      <c r="A20" s="41" t="s">
        <v>196</v>
      </c>
      <c r="B20" s="41" t="s">
        <v>197</v>
      </c>
      <c r="C20" s="152"/>
      <c r="D20" s="41" t="s">
        <v>139</v>
      </c>
      <c r="E20" s="62" t="s">
        <v>62</v>
      </c>
      <c r="F20" s="41" t="s">
        <v>80</v>
      </c>
      <c r="G20" s="41" t="s">
        <v>31</v>
      </c>
      <c r="H20" s="66" t="s">
        <v>201</v>
      </c>
      <c r="I20" s="41">
        <f t="shared" ref="I20:BD20" si="1">I19*I$8</f>
        <v>0</v>
      </c>
      <c r="J20" s="41">
        <f t="shared" si="1"/>
        <v>0</v>
      </c>
      <c r="K20" s="41">
        <f t="shared" si="1"/>
        <v>0</v>
      </c>
      <c r="L20" s="41">
        <f t="shared" si="1"/>
        <v>329.18399999999997</v>
      </c>
      <c r="M20" s="41">
        <f t="shared" si="1"/>
        <v>371.58333333333337</v>
      </c>
      <c r="N20" s="41">
        <f t="shared" si="1"/>
        <v>0</v>
      </c>
      <c r="O20" s="41">
        <f t="shared" si="1"/>
        <v>0</v>
      </c>
      <c r="P20" s="41">
        <f t="shared" si="1"/>
        <v>414.35366666666664</v>
      </c>
      <c r="Q20" s="41">
        <f t="shared" si="1"/>
        <v>443.00083333333339</v>
      </c>
      <c r="R20" s="41">
        <f t="shared" si="1"/>
        <v>0</v>
      </c>
      <c r="S20" s="41">
        <f t="shared" si="1"/>
        <v>480.80913333333336</v>
      </c>
      <c r="T20" s="41">
        <f t="shared" si="1"/>
        <v>533.84488888888893</v>
      </c>
      <c r="U20" s="41">
        <f t="shared" si="1"/>
        <v>569.72484374999999</v>
      </c>
      <c r="V20" s="41">
        <f t="shared" si="1"/>
        <v>608.46668749999992</v>
      </c>
      <c r="W20" s="41">
        <f t="shared" si="1"/>
        <v>686.06864583333345</v>
      </c>
      <c r="X20" s="41">
        <f t="shared" si="1"/>
        <v>703.95</v>
      </c>
      <c r="Y20" s="41">
        <f t="shared" si="1"/>
        <v>708.9561625</v>
      </c>
      <c r="Z20" s="41">
        <f t="shared" si="1"/>
        <v>740.44456666666667</v>
      </c>
      <c r="AA20" s="41">
        <f t="shared" si="1"/>
        <v>755.47059999999999</v>
      </c>
      <c r="AB20" s="41">
        <f t="shared" si="1"/>
        <v>744.61434166666686</v>
      </c>
      <c r="AC20" s="41">
        <f t="shared" si="1"/>
        <v>712.34382916666664</v>
      </c>
      <c r="AD20" s="41">
        <f t="shared" si="1"/>
        <v>580.31524173913044</v>
      </c>
      <c r="AE20" s="41">
        <f t="shared" si="1"/>
        <v>479.76583333333338</v>
      </c>
      <c r="AF20" s="41">
        <f t="shared" si="1"/>
        <v>453.39429583333339</v>
      </c>
      <c r="AG20" s="41">
        <f t="shared" si="1"/>
        <v>454.76041666666663</v>
      </c>
      <c r="AH20" s="41">
        <f t="shared" si="1"/>
        <v>467.33499999999998</v>
      </c>
      <c r="AI20" s="41">
        <f t="shared" si="1"/>
        <v>445.4223404255319</v>
      </c>
      <c r="AJ20" s="41">
        <f t="shared" si="1"/>
        <v>434.12109999999996</v>
      </c>
      <c r="AK20" s="41">
        <f t="shared" si="1"/>
        <v>422.42371079999998</v>
      </c>
      <c r="AL20" s="41">
        <f t="shared" si="1"/>
        <v>393.77985000000001</v>
      </c>
      <c r="AM20" s="41">
        <f t="shared" si="1"/>
        <v>429.61277890000002</v>
      </c>
      <c r="AN20" s="41">
        <f t="shared" si="1"/>
        <v>502.88167000000004</v>
      </c>
      <c r="AO20" s="41">
        <f t="shared" si="1"/>
        <v>449.01808999999997</v>
      </c>
      <c r="AP20" s="41">
        <f t="shared" si="1"/>
        <v>439.33654999999999</v>
      </c>
      <c r="AQ20" s="41">
        <f t="shared" si="1"/>
        <v>431.73759999999999</v>
      </c>
      <c r="AR20" s="41">
        <f t="shared" si="1"/>
        <v>454.67699999999996</v>
      </c>
      <c r="AS20" s="41">
        <f t="shared" si="1"/>
        <v>481.7124</v>
      </c>
      <c r="AT20" s="41">
        <f t="shared" si="1"/>
        <v>0</v>
      </c>
      <c r="AU20" s="41">
        <f t="shared" si="1"/>
        <v>0</v>
      </c>
      <c r="AV20" s="41">
        <f t="shared" si="1"/>
        <v>0</v>
      </c>
      <c r="AW20" s="41">
        <f t="shared" si="1"/>
        <v>0</v>
      </c>
      <c r="AX20" s="41">
        <f t="shared" si="1"/>
        <v>0</v>
      </c>
      <c r="AY20" s="41">
        <f t="shared" si="1"/>
        <v>0</v>
      </c>
      <c r="AZ20" s="41">
        <f t="shared" si="1"/>
        <v>0</v>
      </c>
      <c r="BA20" s="41">
        <f t="shared" si="1"/>
        <v>0</v>
      </c>
      <c r="BB20" s="41">
        <f t="shared" si="1"/>
        <v>0</v>
      </c>
      <c r="BC20" s="41">
        <f t="shared" si="1"/>
        <v>0</v>
      </c>
      <c r="BD20" s="41">
        <f t="shared" si="1"/>
        <v>0</v>
      </c>
    </row>
    <row r="21" spans="1:56" ht="18.75" customHeight="1">
      <c r="A21" s="39" t="s">
        <v>55</v>
      </c>
      <c r="B21" s="41" t="s">
        <v>56</v>
      </c>
      <c r="C21" s="161" t="s">
        <v>539</v>
      </c>
      <c r="D21" s="41" t="s">
        <v>563</v>
      </c>
      <c r="E21" s="62" t="s">
        <v>62</v>
      </c>
      <c r="F21" s="40" t="s">
        <v>79</v>
      </c>
      <c r="G21" s="39" t="s">
        <v>57</v>
      </c>
      <c r="H21" s="66" t="s">
        <v>165</v>
      </c>
      <c r="I21" s="41">
        <v>55445</v>
      </c>
      <c r="J21" s="41">
        <v>53650</v>
      </c>
      <c r="K21" s="41">
        <v>58700</v>
      </c>
      <c r="L21" s="41">
        <v>68405</v>
      </c>
      <c r="M21" s="41">
        <v>67290</v>
      </c>
      <c r="N21" s="41">
        <v>63535</v>
      </c>
      <c r="O21" s="41">
        <v>67040</v>
      </c>
      <c r="P21" s="41">
        <v>64085</v>
      </c>
      <c r="Q21" s="41">
        <v>65270</v>
      </c>
      <c r="R21" s="41">
        <v>66330</v>
      </c>
      <c r="S21" s="41">
        <v>58495</v>
      </c>
      <c r="T21" s="41">
        <v>56695</v>
      </c>
      <c r="U21" s="41">
        <v>60250</v>
      </c>
      <c r="V21" s="41">
        <v>65320</v>
      </c>
      <c r="W21" s="41">
        <v>66235</v>
      </c>
      <c r="X21" s="41">
        <v>62435</v>
      </c>
      <c r="Y21" s="41">
        <v>62420</v>
      </c>
      <c r="Z21" s="41">
        <v>61105</v>
      </c>
      <c r="AA21" s="41">
        <v>62495</v>
      </c>
      <c r="AB21" s="41">
        <v>58040</v>
      </c>
      <c r="AC21" s="41">
        <v>55195</v>
      </c>
      <c r="AD21" s="41">
        <v>42110</v>
      </c>
      <c r="AE21" s="41">
        <v>35870</v>
      </c>
      <c r="AF21" s="41">
        <v>30935</v>
      </c>
      <c r="AG21" s="41">
        <v>31215</v>
      </c>
      <c r="AH21" s="41">
        <v>27735</v>
      </c>
      <c r="AI21" s="41">
        <v>31235</v>
      </c>
      <c r="AJ21" s="41">
        <v>38700</v>
      </c>
      <c r="AK21" s="41">
        <v>37660</v>
      </c>
      <c r="AL21" s="41">
        <v>39950</v>
      </c>
      <c r="AM21" s="41">
        <v>41810</v>
      </c>
      <c r="AN21" s="41">
        <v>48885</v>
      </c>
      <c r="AO21" s="41">
        <v>48395</v>
      </c>
      <c r="AP21" s="41">
        <v>50450</v>
      </c>
      <c r="AQ21" s="41">
        <v>55450</v>
      </c>
      <c r="AR21" s="41">
        <v>56705</v>
      </c>
      <c r="AS21" s="41">
        <v>59620</v>
      </c>
      <c r="AT21" s="41"/>
      <c r="AU21" s="41"/>
      <c r="AV21" s="41"/>
      <c r="AW21" s="41"/>
      <c r="AX21" s="41"/>
      <c r="AY21" s="41"/>
      <c r="AZ21" s="41"/>
      <c r="BA21" s="42"/>
      <c r="BB21" s="42"/>
      <c r="BC21" s="42"/>
      <c r="BD21" s="42"/>
    </row>
    <row r="22" spans="1:56" ht="18.75" customHeight="1">
      <c r="A22" s="39" t="s">
        <v>55</v>
      </c>
      <c r="B22" s="41" t="s">
        <v>56</v>
      </c>
      <c r="C22" s="161"/>
      <c r="D22" s="41" t="s">
        <v>139</v>
      </c>
      <c r="E22" s="62" t="s">
        <v>62</v>
      </c>
      <c r="F22" s="40" t="s">
        <v>79</v>
      </c>
      <c r="G22" s="39" t="s">
        <v>58</v>
      </c>
      <c r="H22" s="66" t="s">
        <v>164</v>
      </c>
      <c r="I22" s="41">
        <v>7124.6824999999999</v>
      </c>
      <c r="J22" s="41">
        <v>6926.2149999999992</v>
      </c>
      <c r="K22" s="41">
        <v>7589.91</v>
      </c>
      <c r="L22" s="41">
        <v>8865.2879999999986</v>
      </c>
      <c r="M22" s="41">
        <v>8747.7000000000007</v>
      </c>
      <c r="N22" s="41">
        <v>8329.4385000000002</v>
      </c>
      <c r="O22" s="41">
        <v>8855.9840000000004</v>
      </c>
      <c r="P22" s="41">
        <v>8465.6284999999989</v>
      </c>
      <c r="Q22" s="41">
        <v>8680.91</v>
      </c>
      <c r="R22" s="41">
        <v>8848.4219999999987</v>
      </c>
      <c r="S22" s="41">
        <v>7885.1260000000002</v>
      </c>
      <c r="T22" s="41">
        <v>7699.1810000000005</v>
      </c>
      <c r="U22" s="41">
        <v>8323.5375000000004</v>
      </c>
      <c r="V22" s="41">
        <v>9121.9380000000001</v>
      </c>
      <c r="W22" s="41">
        <v>9372.2525000000005</v>
      </c>
      <c r="X22" s="41">
        <v>8944.4380999999994</v>
      </c>
      <c r="Y22" s="41">
        <v>8962.2636000000002</v>
      </c>
      <c r="Z22" s="41">
        <v>8867.5576000000001</v>
      </c>
      <c r="AA22" s="41">
        <v>9154.2675999999992</v>
      </c>
      <c r="AB22" s="41">
        <v>8483.7068000000017</v>
      </c>
      <c r="AC22" s="41">
        <v>8086.6194500000001</v>
      </c>
      <c r="AD22" s="41">
        <v>6168.9465599999994</v>
      </c>
      <c r="AE22" s="41">
        <v>5261.4116000000004</v>
      </c>
      <c r="AF22" s="41">
        <v>4521.3977300000006</v>
      </c>
      <c r="AG22" s="41">
        <v>4572.9974999999995</v>
      </c>
      <c r="AH22" s="41">
        <v>4063.1774999999998</v>
      </c>
      <c r="AI22" s="41">
        <f>AI21*AI8</f>
        <v>4575.9274999999998</v>
      </c>
      <c r="AJ22" s="41">
        <f>AJ21*AJ$8</f>
        <v>5672.6459999999997</v>
      </c>
      <c r="AK22" s="41">
        <f t="shared" ref="AK22:BD22" si="2">AK21*AK$8</f>
        <v>5526.9816000000001</v>
      </c>
      <c r="AL22" s="41">
        <f t="shared" si="2"/>
        <v>5854.6725000000006</v>
      </c>
      <c r="AM22" s="41">
        <f t="shared" si="2"/>
        <v>6128.9278999999997</v>
      </c>
      <c r="AN22" s="41">
        <f t="shared" si="2"/>
        <v>7165.0744500000001</v>
      </c>
      <c r="AO22" s="41">
        <f t="shared" si="2"/>
        <v>7099.0625499999996</v>
      </c>
      <c r="AP22" s="41">
        <f t="shared" si="2"/>
        <v>7400.5104999999994</v>
      </c>
      <c r="AQ22" s="41">
        <f t="shared" si="2"/>
        <v>8131.7425000000003</v>
      </c>
      <c r="AR22" s="41">
        <f t="shared" si="2"/>
        <v>8316.9223499999989</v>
      </c>
      <c r="AS22" s="41">
        <f t="shared" si="2"/>
        <v>8742.6767999999993</v>
      </c>
      <c r="AT22" s="41">
        <f t="shared" si="2"/>
        <v>0</v>
      </c>
      <c r="AU22" s="41">
        <f t="shared" si="2"/>
        <v>0</v>
      </c>
      <c r="AV22" s="41">
        <f t="shared" si="2"/>
        <v>0</v>
      </c>
      <c r="AW22" s="41">
        <f t="shared" si="2"/>
        <v>0</v>
      </c>
      <c r="AX22" s="41">
        <f t="shared" si="2"/>
        <v>0</v>
      </c>
      <c r="AY22" s="41">
        <f t="shared" si="2"/>
        <v>0</v>
      </c>
      <c r="AZ22" s="41">
        <f t="shared" si="2"/>
        <v>0</v>
      </c>
      <c r="BA22" s="41">
        <f t="shared" si="2"/>
        <v>0</v>
      </c>
      <c r="BB22" s="41">
        <f t="shared" si="2"/>
        <v>0</v>
      </c>
      <c r="BC22" s="41">
        <f t="shared" si="2"/>
        <v>0</v>
      </c>
      <c r="BD22" s="41">
        <f t="shared" si="2"/>
        <v>0</v>
      </c>
    </row>
    <row r="23" spans="1:56" ht="18.75" customHeight="1">
      <c r="A23" s="41" t="s">
        <v>2</v>
      </c>
      <c r="B23" s="41" t="s">
        <v>83</v>
      </c>
      <c r="C23" s="152" t="s">
        <v>528</v>
      </c>
      <c r="D23" s="41" t="s">
        <v>531</v>
      </c>
      <c r="E23" s="62" t="s">
        <v>62</v>
      </c>
      <c r="F23" s="41" t="s">
        <v>28</v>
      </c>
      <c r="G23" s="41" t="s">
        <v>31</v>
      </c>
      <c r="H23" s="66" t="s">
        <v>166</v>
      </c>
      <c r="I23" s="50">
        <v>5669.659090909091</v>
      </c>
      <c r="J23" s="50">
        <v>5676.45</v>
      </c>
      <c r="K23" s="50">
        <v>6452.477272727273</v>
      </c>
      <c r="L23" s="50">
        <v>7766.4736842105267</v>
      </c>
      <c r="M23" s="50">
        <v>7682.166666666667</v>
      </c>
      <c r="N23" s="50">
        <v>7475.8809523809523</v>
      </c>
      <c r="O23" s="50">
        <v>7973.909090909091</v>
      </c>
      <c r="P23" s="50">
        <v>7513.5</v>
      </c>
      <c r="Q23" s="50">
        <v>7648.9750000000004</v>
      </c>
      <c r="R23" s="50">
        <v>8008.434782608696</v>
      </c>
      <c r="S23" s="50">
        <v>6966.704545454545</v>
      </c>
      <c r="T23" s="50">
        <v>6587.666666666667</v>
      </c>
      <c r="U23" s="50">
        <v>7061.022727272727</v>
      </c>
      <c r="V23" s="50">
        <v>7887.6904761904761</v>
      </c>
      <c r="W23" s="50">
        <v>8439.28947368421</v>
      </c>
      <c r="X23" s="50">
        <v>8684.931818181818</v>
      </c>
      <c r="Y23" s="50">
        <v>8382.75</v>
      </c>
      <c r="Z23" s="50">
        <v>8260.5952380952385</v>
      </c>
      <c r="AA23" s="50">
        <v>8414.04347826087</v>
      </c>
      <c r="AB23" s="50">
        <v>7634.7</v>
      </c>
      <c r="AC23" s="50">
        <v>6990.863636363636</v>
      </c>
      <c r="AD23" s="50">
        <v>4925.695652173913</v>
      </c>
      <c r="AE23" s="50">
        <v>3717</v>
      </c>
      <c r="AF23" s="50">
        <v>3071.9761904761904</v>
      </c>
      <c r="AG23" s="50">
        <v>3220.6904761904761</v>
      </c>
      <c r="AH23" s="50">
        <v>3314.73</v>
      </c>
      <c r="AI23" s="50">
        <v>3729.38</v>
      </c>
      <c r="AJ23" s="50">
        <v>4242.45</v>
      </c>
      <c r="AK23" s="50">
        <v>4557.1099999999997</v>
      </c>
      <c r="AL23" s="50">
        <v>5013.95</v>
      </c>
      <c r="AM23" s="50">
        <v>5141.32</v>
      </c>
      <c r="AN23" s="50">
        <v>6165.3</v>
      </c>
      <c r="AO23" s="50">
        <v>6196.43</v>
      </c>
      <c r="AP23" s="50">
        <v>6274.31</v>
      </c>
      <c r="AQ23" s="50">
        <v>6675.6</v>
      </c>
      <c r="AR23" s="50">
        <v>6931.93</v>
      </c>
      <c r="AS23" s="50">
        <v>7414.26</v>
      </c>
      <c r="AT23" s="50"/>
      <c r="AU23" s="50"/>
      <c r="AV23" s="50"/>
      <c r="AW23" s="50"/>
      <c r="AX23" s="50"/>
      <c r="AY23" s="50"/>
      <c r="AZ23" s="50"/>
      <c r="BA23" s="42"/>
      <c r="BB23" s="42"/>
      <c r="BC23" s="42"/>
      <c r="BD23" s="42"/>
    </row>
    <row r="24" spans="1:56" ht="18.75" customHeight="1">
      <c r="A24" s="41" t="s">
        <v>461</v>
      </c>
      <c r="B24" s="41" t="s">
        <v>130</v>
      </c>
      <c r="C24" s="161" t="s">
        <v>106</v>
      </c>
      <c r="D24" s="41" t="s">
        <v>495</v>
      </c>
      <c r="E24" s="62" t="s">
        <v>62</v>
      </c>
      <c r="F24" s="41" t="s">
        <v>80</v>
      </c>
      <c r="G24" s="41" t="s">
        <v>32</v>
      </c>
      <c r="H24" s="66" t="s">
        <v>167</v>
      </c>
      <c r="I24" s="41">
        <v>26500</v>
      </c>
      <c r="J24" s="41">
        <v>28000</v>
      </c>
      <c r="K24" s="41">
        <v>29500</v>
      </c>
      <c r="L24" s="41">
        <v>31500</v>
      </c>
      <c r="M24" s="41">
        <v>32000</v>
      </c>
      <c r="N24" s="41">
        <v>29000</v>
      </c>
      <c r="O24" s="41">
        <v>27000</v>
      </c>
      <c r="P24" s="41">
        <v>25000</v>
      </c>
      <c r="Q24" s="41">
        <v>27500</v>
      </c>
      <c r="R24" s="41">
        <v>28000</v>
      </c>
      <c r="S24" s="41">
        <v>27500</v>
      </c>
      <c r="T24" s="41">
        <v>24000</v>
      </c>
      <c r="U24" s="41">
        <v>24500</v>
      </c>
      <c r="V24" s="41">
        <v>23500</v>
      </c>
      <c r="W24" s="41">
        <v>23500</v>
      </c>
      <c r="X24" s="41">
        <v>23400</v>
      </c>
      <c r="Y24" s="41">
        <v>23000</v>
      </c>
      <c r="Z24" s="41">
        <v>22500</v>
      </c>
      <c r="AA24" s="41">
        <v>22500</v>
      </c>
      <c r="AB24" s="41">
        <v>23100</v>
      </c>
      <c r="AC24" s="41">
        <v>23100</v>
      </c>
      <c r="AD24" s="41">
        <v>18500</v>
      </c>
      <c r="AE24" s="41">
        <v>15500</v>
      </c>
      <c r="AF24" s="41">
        <v>15200</v>
      </c>
      <c r="AG24" s="41">
        <v>15200</v>
      </c>
      <c r="AH24" s="41">
        <v>14500</v>
      </c>
      <c r="AI24" s="41">
        <v>13500</v>
      </c>
      <c r="AJ24" s="50">
        <v>14200</v>
      </c>
      <c r="AK24" s="50">
        <v>14600</v>
      </c>
      <c r="AL24" s="50">
        <v>16900</v>
      </c>
      <c r="AM24" s="50">
        <v>16400</v>
      </c>
      <c r="AN24" s="50">
        <v>20150</v>
      </c>
      <c r="AO24" s="50">
        <v>18300</v>
      </c>
      <c r="AP24" s="50">
        <v>17600</v>
      </c>
      <c r="AQ24" s="50">
        <v>17150</v>
      </c>
      <c r="AR24" s="51"/>
      <c r="AS24" s="51"/>
      <c r="AT24" s="51"/>
      <c r="AU24" s="51"/>
      <c r="AV24" s="51"/>
      <c r="AW24" s="51"/>
      <c r="AX24" s="51"/>
      <c r="AY24" s="51"/>
      <c r="AZ24" s="51"/>
      <c r="BA24" s="51"/>
      <c r="BB24" s="51"/>
      <c r="BC24" s="51"/>
      <c r="BD24" s="51"/>
    </row>
    <row r="25" spans="1:56" ht="18.75" customHeight="1">
      <c r="A25" s="41" t="s">
        <v>461</v>
      </c>
      <c r="B25" s="41" t="s">
        <v>130</v>
      </c>
      <c r="C25" s="161"/>
      <c r="D25" s="41" t="s">
        <v>139</v>
      </c>
      <c r="E25" s="62" t="s">
        <v>62</v>
      </c>
      <c r="F25" s="41" t="s">
        <v>80</v>
      </c>
      <c r="G25" s="41" t="s">
        <v>131</v>
      </c>
      <c r="H25" s="66" t="s">
        <v>168</v>
      </c>
      <c r="I25" s="41">
        <f>I24*$I$8</f>
        <v>3405.25</v>
      </c>
      <c r="J25" s="41">
        <f>J24*$J$8</f>
        <v>3614.7999999999997</v>
      </c>
      <c r="K25" s="41">
        <f>K24*$K$8</f>
        <v>3814.35</v>
      </c>
      <c r="L25" s="41">
        <f>L24*$L$8</f>
        <v>4082.3999999999996</v>
      </c>
      <c r="M25" s="41">
        <f>M24*$M$8</f>
        <v>4160</v>
      </c>
      <c r="N25" s="41">
        <f>N24*$N$8</f>
        <v>3801.8999999999996</v>
      </c>
      <c r="O25" s="41">
        <f>O24*$O$8</f>
        <v>3566.7</v>
      </c>
      <c r="P25" s="41">
        <f>P24*$P$8</f>
        <v>3302.5</v>
      </c>
      <c r="Q25" s="41">
        <f>Q24*$Q$8</f>
        <v>3657.5</v>
      </c>
      <c r="R25" s="41">
        <f>R24*$R$8</f>
        <v>3735.2</v>
      </c>
      <c r="S25" s="41">
        <f>S24*$S$8</f>
        <v>3707</v>
      </c>
      <c r="T25" s="41">
        <f>T24*$T$8</f>
        <v>3259.2000000000003</v>
      </c>
      <c r="U25" s="41">
        <f>U24*$U$8</f>
        <v>3384.6749999999997</v>
      </c>
      <c r="V25" s="41">
        <f>V24*$V$8</f>
        <v>3281.7750000000001</v>
      </c>
      <c r="W25" s="41">
        <f>W24*$W$8</f>
        <v>3325.2500000000005</v>
      </c>
      <c r="X25" s="41">
        <f>X24*$X$8</f>
        <v>3352.2840000000001</v>
      </c>
      <c r="Y25" s="41">
        <f>Y24*$Y$8</f>
        <v>3302.34</v>
      </c>
      <c r="Z25" s="41">
        <f>Z24*$Z$8</f>
        <v>3265.2</v>
      </c>
      <c r="AA25" s="41">
        <f>AA24*$AA$8</f>
        <v>3295.8</v>
      </c>
      <c r="AB25" s="41">
        <f>AB24*$AB$8</f>
        <v>3376.5270000000005</v>
      </c>
      <c r="AC25" s="41">
        <f>AC24*$AC$8</f>
        <v>3384.3809999999999</v>
      </c>
      <c r="AD25" s="41">
        <f>AD24*$AD$8</f>
        <v>2710.1759999999999</v>
      </c>
      <c r="AE25" s="41">
        <f>AE24*$AE$8</f>
        <v>2273.54</v>
      </c>
      <c r="AF25" s="41">
        <f>AF24*$AF$8</f>
        <v>2221.6016</v>
      </c>
      <c r="AG25" s="41">
        <f>AG24*$AG$8</f>
        <v>2226.7999999999997</v>
      </c>
      <c r="AH25" s="41">
        <f>AH24*$AH$8</f>
        <v>2124.25</v>
      </c>
      <c r="AI25" s="41">
        <f>AI24*$AI$8</f>
        <v>1977.7499999999998</v>
      </c>
      <c r="AJ25" s="50">
        <f>AJ24*AJ$8</f>
        <v>2081.4359999999997</v>
      </c>
      <c r="AK25" s="50">
        <f t="shared" ref="AK25:BD25" si="3">AK24*AK$8</f>
        <v>2142.6959999999999</v>
      </c>
      <c r="AL25" s="50">
        <f t="shared" si="3"/>
        <v>2476.6950000000002</v>
      </c>
      <c r="AM25" s="41">
        <f t="shared" si="3"/>
        <v>2404.076</v>
      </c>
      <c r="AN25" s="41">
        <f t="shared" si="3"/>
        <v>2953.3855000000003</v>
      </c>
      <c r="AO25" s="41">
        <f t="shared" si="3"/>
        <v>2684.4269999999997</v>
      </c>
      <c r="AP25" s="41">
        <f t="shared" si="3"/>
        <v>2581.7439999999997</v>
      </c>
      <c r="AQ25" s="41">
        <f t="shared" si="3"/>
        <v>2515.0475000000001</v>
      </c>
      <c r="AR25" s="41">
        <f t="shared" si="3"/>
        <v>0</v>
      </c>
      <c r="AS25" s="41">
        <f t="shared" si="3"/>
        <v>0</v>
      </c>
      <c r="AT25" s="41">
        <f t="shared" si="3"/>
        <v>0</v>
      </c>
      <c r="AU25" s="41">
        <f t="shared" si="3"/>
        <v>0</v>
      </c>
      <c r="AV25" s="41">
        <f t="shared" si="3"/>
        <v>0</v>
      </c>
      <c r="AW25" s="41">
        <f t="shared" si="3"/>
        <v>0</v>
      </c>
      <c r="AX25" s="41">
        <f t="shared" si="3"/>
        <v>0</v>
      </c>
      <c r="AY25" s="41">
        <f t="shared" si="3"/>
        <v>0</v>
      </c>
      <c r="AZ25" s="41">
        <f t="shared" si="3"/>
        <v>0</v>
      </c>
      <c r="BA25" s="41">
        <f t="shared" si="3"/>
        <v>0</v>
      </c>
      <c r="BB25" s="41">
        <f t="shared" si="3"/>
        <v>0</v>
      </c>
      <c r="BC25" s="41">
        <f t="shared" si="3"/>
        <v>0</v>
      </c>
      <c r="BD25" s="41">
        <f t="shared" si="3"/>
        <v>0</v>
      </c>
    </row>
    <row r="26" spans="1:56" ht="18.75" customHeight="1">
      <c r="A26" s="41" t="s">
        <v>462</v>
      </c>
      <c r="B26" s="41" t="s">
        <v>130</v>
      </c>
      <c r="C26" s="161" t="s">
        <v>106</v>
      </c>
      <c r="D26" s="41" t="s">
        <v>495</v>
      </c>
      <c r="E26" s="62" t="s">
        <v>62</v>
      </c>
      <c r="F26" s="41" t="s">
        <v>80</v>
      </c>
      <c r="G26" s="41" t="s">
        <v>32</v>
      </c>
      <c r="H26" s="66" t="s">
        <v>169</v>
      </c>
      <c r="I26" s="50">
        <v>37100</v>
      </c>
      <c r="J26" s="50">
        <v>37100</v>
      </c>
      <c r="K26" s="50">
        <v>39600</v>
      </c>
      <c r="L26" s="50">
        <v>43600</v>
      </c>
      <c r="M26" s="50">
        <v>46100</v>
      </c>
      <c r="N26" s="50">
        <v>46600</v>
      </c>
      <c r="O26" s="50">
        <v>38600</v>
      </c>
      <c r="P26" s="50">
        <v>31800</v>
      </c>
      <c r="Q26" s="50">
        <v>32600</v>
      </c>
      <c r="R26" s="50">
        <v>34100</v>
      </c>
      <c r="S26" s="50">
        <v>34600</v>
      </c>
      <c r="T26" s="50">
        <v>34600</v>
      </c>
      <c r="U26" s="50">
        <v>32100</v>
      </c>
      <c r="V26" s="50">
        <v>32300</v>
      </c>
      <c r="W26" s="50">
        <v>32300</v>
      </c>
      <c r="X26" s="50">
        <v>34100</v>
      </c>
      <c r="Y26" s="50">
        <v>32600</v>
      </c>
      <c r="Z26" s="50">
        <v>30600</v>
      </c>
      <c r="AA26" s="50">
        <v>30600</v>
      </c>
      <c r="AB26" s="50">
        <v>28900</v>
      </c>
      <c r="AC26" s="50">
        <v>28900</v>
      </c>
      <c r="AD26" s="50">
        <v>26300</v>
      </c>
      <c r="AE26" s="50">
        <v>20300</v>
      </c>
      <c r="AF26" s="50">
        <v>18900</v>
      </c>
      <c r="AG26" s="50">
        <v>18900</v>
      </c>
      <c r="AH26" s="50">
        <v>18900</v>
      </c>
      <c r="AI26" s="41">
        <v>15800</v>
      </c>
      <c r="AJ26" s="50">
        <v>16600</v>
      </c>
      <c r="AK26" s="50">
        <v>17550</v>
      </c>
      <c r="AL26" s="50">
        <v>19750</v>
      </c>
      <c r="AM26" s="50">
        <v>22300</v>
      </c>
      <c r="AN26" s="50">
        <v>23500</v>
      </c>
      <c r="AO26" s="50">
        <v>21050</v>
      </c>
      <c r="AP26" s="50">
        <v>20900</v>
      </c>
      <c r="AQ26" s="50">
        <v>19850</v>
      </c>
      <c r="AR26" s="50"/>
      <c r="AS26" s="50"/>
      <c r="AT26" s="50"/>
      <c r="AU26" s="50"/>
      <c r="AV26" s="50"/>
      <c r="AW26" s="50"/>
      <c r="AX26" s="50"/>
      <c r="AY26" s="50"/>
      <c r="AZ26" s="50"/>
      <c r="BA26" s="42"/>
      <c r="BB26" s="42"/>
      <c r="BC26" s="42"/>
      <c r="BD26" s="42"/>
    </row>
    <row r="27" spans="1:56" ht="18.75" customHeight="1">
      <c r="A27" s="41" t="s">
        <v>462</v>
      </c>
      <c r="B27" s="41" t="s">
        <v>130</v>
      </c>
      <c r="C27" s="161"/>
      <c r="D27" s="41" t="s">
        <v>139</v>
      </c>
      <c r="E27" s="62" t="s">
        <v>62</v>
      </c>
      <c r="F27" s="41" t="s">
        <v>80</v>
      </c>
      <c r="G27" s="41" t="s">
        <v>31</v>
      </c>
      <c r="H27" s="66" t="s">
        <v>170</v>
      </c>
      <c r="I27" s="50">
        <v>4767.3500000000004</v>
      </c>
      <c r="J27" s="50">
        <v>4789.6099999999997</v>
      </c>
      <c r="K27" s="50">
        <v>5120.28</v>
      </c>
      <c r="L27" s="50">
        <v>5650.5599999999995</v>
      </c>
      <c r="M27" s="50">
        <v>5993</v>
      </c>
      <c r="N27" s="50">
        <v>6109.2599999999993</v>
      </c>
      <c r="O27" s="50">
        <v>5099.0599999999995</v>
      </c>
      <c r="P27" s="50">
        <v>4200.78</v>
      </c>
      <c r="Q27" s="50">
        <v>4335.8</v>
      </c>
      <c r="R27" s="50">
        <v>4548.9399999999996</v>
      </c>
      <c r="S27" s="50">
        <v>4664.08</v>
      </c>
      <c r="T27" s="50">
        <v>4698.68</v>
      </c>
      <c r="U27" s="50">
        <v>4434.6149999999998</v>
      </c>
      <c r="V27" s="50">
        <v>4510.6949999999997</v>
      </c>
      <c r="W27" s="50">
        <v>4570.4500000000007</v>
      </c>
      <c r="X27" s="50">
        <v>4885.1660000000002</v>
      </c>
      <c r="Y27" s="50">
        <v>4680.7080000000005</v>
      </c>
      <c r="Z27" s="50">
        <v>4440.6719999999996</v>
      </c>
      <c r="AA27" s="50">
        <v>4482.2879999999996</v>
      </c>
      <c r="AB27" s="50">
        <v>4224.313000000001</v>
      </c>
      <c r="AC27" s="50">
        <v>4234.1390000000001</v>
      </c>
      <c r="AD27" s="50">
        <v>3852.8447999999999</v>
      </c>
      <c r="AE27" s="50">
        <v>2977.6040000000003</v>
      </c>
      <c r="AF27" s="50">
        <v>2762.3862000000004</v>
      </c>
      <c r="AG27" s="50">
        <v>2768.85</v>
      </c>
      <c r="AH27" s="50">
        <v>2768.85</v>
      </c>
      <c r="AI27" s="50">
        <f>AI26*$AI$8</f>
        <v>2314.6999999999998</v>
      </c>
      <c r="AJ27" s="50">
        <f>AJ26*AJ$8</f>
        <v>2433.2279999999996</v>
      </c>
      <c r="AK27" s="50">
        <f t="shared" ref="AK27:BD27" si="4">AK26*AK$8</f>
        <v>2575.6379999999999</v>
      </c>
      <c r="AL27" s="50">
        <f t="shared" si="4"/>
        <v>2894.3625000000002</v>
      </c>
      <c r="AM27" s="50">
        <f t="shared" si="4"/>
        <v>3268.9569999999999</v>
      </c>
      <c r="AN27" s="50">
        <f t="shared" si="4"/>
        <v>3444.395</v>
      </c>
      <c r="AO27" s="50">
        <f t="shared" si="4"/>
        <v>3087.8244999999997</v>
      </c>
      <c r="AP27" s="50">
        <f t="shared" si="4"/>
        <v>3065.8209999999999</v>
      </c>
      <c r="AQ27" s="50">
        <f t="shared" si="4"/>
        <v>2911.0025000000001</v>
      </c>
      <c r="AR27" s="50">
        <f t="shared" si="4"/>
        <v>0</v>
      </c>
      <c r="AS27" s="50">
        <f t="shared" si="4"/>
        <v>0</v>
      </c>
      <c r="AT27" s="50">
        <f t="shared" si="4"/>
        <v>0</v>
      </c>
      <c r="AU27" s="50">
        <f t="shared" si="4"/>
        <v>0</v>
      </c>
      <c r="AV27" s="50">
        <f t="shared" si="4"/>
        <v>0</v>
      </c>
      <c r="AW27" s="50">
        <f t="shared" si="4"/>
        <v>0</v>
      </c>
      <c r="AX27" s="50">
        <f t="shared" si="4"/>
        <v>0</v>
      </c>
      <c r="AY27" s="50">
        <f t="shared" si="4"/>
        <v>0</v>
      </c>
      <c r="AZ27" s="50">
        <f t="shared" si="4"/>
        <v>0</v>
      </c>
      <c r="BA27" s="50">
        <f t="shared" si="4"/>
        <v>0</v>
      </c>
      <c r="BB27" s="50">
        <f t="shared" si="4"/>
        <v>0</v>
      </c>
      <c r="BC27" s="50">
        <f t="shared" si="4"/>
        <v>0</v>
      </c>
      <c r="BD27" s="50">
        <f t="shared" si="4"/>
        <v>0</v>
      </c>
    </row>
    <row r="28" spans="1:56" ht="18.75" customHeight="1">
      <c r="A28" s="41" t="s">
        <v>99</v>
      </c>
      <c r="B28" s="41" t="s">
        <v>4</v>
      </c>
      <c r="C28" s="152" t="s">
        <v>535</v>
      </c>
      <c r="D28" s="41" t="s">
        <v>534</v>
      </c>
      <c r="E28" s="62" t="s">
        <v>62</v>
      </c>
      <c r="F28" s="41" t="s">
        <v>28</v>
      </c>
      <c r="G28" s="41" t="s">
        <v>31</v>
      </c>
      <c r="H28" s="66" t="s">
        <v>171</v>
      </c>
      <c r="I28" s="41">
        <v>5030</v>
      </c>
      <c r="J28" s="41">
        <v>5154</v>
      </c>
      <c r="K28" s="41">
        <v>5432</v>
      </c>
      <c r="L28" s="41">
        <v>5727</v>
      </c>
      <c r="M28" s="41">
        <v>5872</v>
      </c>
      <c r="N28" s="41">
        <v>6049</v>
      </c>
      <c r="O28" s="41">
        <v>6276</v>
      </c>
      <c r="P28" s="41">
        <v>5693</v>
      </c>
      <c r="Q28" s="41">
        <v>4801</v>
      </c>
      <c r="R28" s="41">
        <v>4284</v>
      </c>
      <c r="S28" s="41">
        <v>4223</v>
      </c>
      <c r="T28" s="41">
        <v>4324</v>
      </c>
      <c r="U28" s="41">
        <v>3977</v>
      </c>
      <c r="V28" s="41">
        <v>4130</v>
      </c>
      <c r="W28" s="41">
        <v>4470</v>
      </c>
      <c r="X28" s="41">
        <v>4860</v>
      </c>
      <c r="Y28" s="41">
        <v>4878</v>
      </c>
      <c r="Z28" s="41">
        <v>4821</v>
      </c>
      <c r="AA28" s="41">
        <v>4457</v>
      </c>
      <c r="AB28" s="41">
        <v>3947</v>
      </c>
      <c r="AC28" s="41">
        <v>3646</v>
      </c>
      <c r="AD28" s="41">
        <v>3408</v>
      </c>
      <c r="AE28" s="41">
        <v>2762</v>
      </c>
      <c r="AF28" s="41">
        <v>2656</v>
      </c>
      <c r="AG28" s="41">
        <v>2405</v>
      </c>
      <c r="AH28" s="41">
        <v>2355</v>
      </c>
      <c r="AI28" s="41">
        <v>2094</v>
      </c>
      <c r="AJ28" s="50">
        <v>2079</v>
      </c>
      <c r="AK28" s="50">
        <v>2200</v>
      </c>
      <c r="AL28" s="50">
        <v>2401</v>
      </c>
      <c r="AM28" s="50">
        <v>2643</v>
      </c>
      <c r="AN28" s="50">
        <v>2971</v>
      </c>
      <c r="AO28" s="50">
        <v>3358</v>
      </c>
      <c r="AP28" s="50">
        <v>3350</v>
      </c>
      <c r="AQ28" s="50">
        <v>3406</v>
      </c>
      <c r="AR28" s="51">
        <v>3089</v>
      </c>
      <c r="AS28" s="51"/>
      <c r="AT28" s="51"/>
      <c r="AU28" s="51"/>
      <c r="AV28" s="51"/>
      <c r="AW28" s="51"/>
      <c r="AX28" s="51"/>
      <c r="AY28" s="51"/>
      <c r="AZ28" s="51"/>
      <c r="BA28" s="51"/>
      <c r="BB28" s="51"/>
      <c r="BC28" s="51"/>
      <c r="BD28" s="51"/>
    </row>
    <row r="29" spans="1:56" ht="18.75" customHeight="1">
      <c r="A29" s="41" t="s">
        <v>562</v>
      </c>
      <c r="B29" s="41" t="s">
        <v>130</v>
      </c>
      <c r="C29" s="161" t="s">
        <v>106</v>
      </c>
      <c r="D29" s="41" t="s">
        <v>495</v>
      </c>
      <c r="E29" s="62" t="s">
        <v>62</v>
      </c>
      <c r="F29" s="41" t="s">
        <v>80</v>
      </c>
      <c r="G29" s="41" t="s">
        <v>32</v>
      </c>
      <c r="H29" s="66" t="s">
        <v>497</v>
      </c>
      <c r="I29" s="41"/>
      <c r="J29" s="41"/>
      <c r="K29" s="41"/>
      <c r="L29" s="41"/>
      <c r="M29" s="41"/>
      <c r="N29" s="41"/>
      <c r="O29" s="41"/>
      <c r="P29" s="41"/>
      <c r="Q29" s="41"/>
      <c r="R29" s="41"/>
      <c r="S29" s="41"/>
      <c r="T29" s="41"/>
      <c r="U29" s="41">
        <v>34800</v>
      </c>
      <c r="V29" s="41">
        <v>34800</v>
      </c>
      <c r="W29" s="41">
        <v>34850</v>
      </c>
      <c r="X29" s="41">
        <v>33950</v>
      </c>
      <c r="Y29" s="41">
        <v>32550</v>
      </c>
      <c r="Z29" s="41">
        <v>30050</v>
      </c>
      <c r="AA29" s="41">
        <v>29550</v>
      </c>
      <c r="AB29" s="41">
        <v>28950</v>
      </c>
      <c r="AC29" s="41">
        <v>27850</v>
      </c>
      <c r="AD29" s="41">
        <v>23150</v>
      </c>
      <c r="AE29" s="41">
        <v>20450</v>
      </c>
      <c r="AF29" s="41">
        <v>19400</v>
      </c>
      <c r="AG29" s="41">
        <v>19400</v>
      </c>
      <c r="AH29" s="41">
        <v>18050</v>
      </c>
      <c r="AI29" s="41">
        <v>16700</v>
      </c>
      <c r="AJ29" s="50">
        <v>16950</v>
      </c>
      <c r="AK29" s="50">
        <v>18800</v>
      </c>
      <c r="AL29" s="50">
        <v>20450</v>
      </c>
      <c r="AM29" s="50">
        <v>21850</v>
      </c>
      <c r="AN29" s="50">
        <v>24300</v>
      </c>
      <c r="AO29" s="50">
        <v>21650</v>
      </c>
      <c r="AP29" s="50">
        <v>21650</v>
      </c>
      <c r="AQ29" s="50">
        <v>20800</v>
      </c>
      <c r="AR29" s="51"/>
      <c r="AS29" s="51"/>
      <c r="AT29" s="51"/>
      <c r="AU29" s="51"/>
      <c r="AV29" s="51"/>
      <c r="AW29" s="51"/>
      <c r="AX29" s="51"/>
      <c r="AY29" s="51"/>
      <c r="AZ29" s="51"/>
      <c r="BA29" s="51"/>
      <c r="BB29" s="51"/>
      <c r="BC29" s="51"/>
      <c r="BD29" s="51"/>
    </row>
    <row r="30" spans="1:56" ht="18.75" customHeight="1">
      <c r="A30" s="41" t="s">
        <v>496</v>
      </c>
      <c r="B30" s="41" t="s">
        <v>130</v>
      </c>
      <c r="C30" s="161" t="s">
        <v>106</v>
      </c>
      <c r="D30" s="41" t="s">
        <v>495</v>
      </c>
      <c r="E30" s="62" t="s">
        <v>62</v>
      </c>
      <c r="F30" s="41" t="s">
        <v>80</v>
      </c>
      <c r="G30" s="41" t="s">
        <v>32</v>
      </c>
      <c r="H30" s="66" t="s">
        <v>498</v>
      </c>
      <c r="I30" s="41"/>
      <c r="J30" s="41"/>
      <c r="K30" s="41"/>
      <c r="L30" s="41"/>
      <c r="M30" s="41"/>
      <c r="N30" s="41"/>
      <c r="O30" s="41"/>
      <c r="P30" s="41"/>
      <c r="Q30" s="41"/>
      <c r="R30" s="41"/>
      <c r="S30" s="41"/>
      <c r="T30" s="41"/>
      <c r="U30" s="41">
        <v>32600</v>
      </c>
      <c r="V30" s="41">
        <v>33000</v>
      </c>
      <c r="W30" s="41">
        <v>33000</v>
      </c>
      <c r="X30" s="41">
        <v>32150</v>
      </c>
      <c r="Y30" s="41">
        <v>30850</v>
      </c>
      <c r="Z30" s="41">
        <v>28500</v>
      </c>
      <c r="AA30" s="41">
        <v>27950</v>
      </c>
      <c r="AB30" s="41">
        <v>27600</v>
      </c>
      <c r="AC30" s="41">
        <v>26650</v>
      </c>
      <c r="AD30" s="41">
        <v>22300</v>
      </c>
      <c r="AE30" s="41">
        <v>19150</v>
      </c>
      <c r="AF30" s="41">
        <v>18600</v>
      </c>
      <c r="AG30" s="41">
        <v>18350</v>
      </c>
      <c r="AH30" s="41">
        <v>17450</v>
      </c>
      <c r="AI30" s="41">
        <v>16400</v>
      </c>
      <c r="AJ30" s="50">
        <v>17000</v>
      </c>
      <c r="AK30" s="50">
        <v>18050</v>
      </c>
      <c r="AL30" s="50">
        <v>19950</v>
      </c>
      <c r="AM30" s="50">
        <v>21350</v>
      </c>
      <c r="AN30" s="50">
        <v>23800</v>
      </c>
      <c r="AO30" s="50">
        <v>21300</v>
      </c>
      <c r="AP30" s="50">
        <v>21250</v>
      </c>
      <c r="AQ30" s="50">
        <v>20700</v>
      </c>
      <c r="AR30" s="51"/>
      <c r="AS30" s="51"/>
      <c r="AT30" s="51"/>
      <c r="AU30" s="51"/>
      <c r="AV30" s="51"/>
      <c r="AW30" s="51"/>
      <c r="AX30" s="51"/>
      <c r="AY30" s="51"/>
      <c r="AZ30" s="51"/>
      <c r="BA30" s="51"/>
      <c r="BB30" s="51"/>
      <c r="BC30" s="51"/>
      <c r="BD30" s="51"/>
    </row>
    <row r="31" spans="1:56" ht="18.75" customHeight="1">
      <c r="A31" s="41" t="s">
        <v>8</v>
      </c>
      <c r="B31" s="41" t="s">
        <v>130</v>
      </c>
      <c r="C31" s="161" t="s">
        <v>106</v>
      </c>
      <c r="D31" s="41" t="s">
        <v>495</v>
      </c>
      <c r="E31" s="62" t="s">
        <v>62</v>
      </c>
      <c r="F31" s="41" t="s">
        <v>80</v>
      </c>
      <c r="G31" s="41" t="s">
        <v>32</v>
      </c>
      <c r="H31" s="66" t="s">
        <v>172</v>
      </c>
      <c r="I31" s="50">
        <v>14900</v>
      </c>
      <c r="J31" s="50">
        <v>14900</v>
      </c>
      <c r="K31" s="50">
        <v>15500</v>
      </c>
      <c r="L31" s="50">
        <v>16300</v>
      </c>
      <c r="M31" s="50">
        <v>16900</v>
      </c>
      <c r="N31" s="50">
        <v>16900</v>
      </c>
      <c r="O31" s="50">
        <v>13900</v>
      </c>
      <c r="P31" s="50">
        <v>12900</v>
      </c>
      <c r="Q31" s="50">
        <v>13500</v>
      </c>
      <c r="R31" s="50">
        <v>13800</v>
      </c>
      <c r="S31" s="50">
        <v>13800</v>
      </c>
      <c r="T31" s="50">
        <v>13800</v>
      </c>
      <c r="U31" s="50">
        <v>13900</v>
      </c>
      <c r="V31" s="50">
        <v>14200</v>
      </c>
      <c r="W31" s="50">
        <v>14500</v>
      </c>
      <c r="X31" s="50">
        <v>15400</v>
      </c>
      <c r="Y31" s="50">
        <v>15700</v>
      </c>
      <c r="Z31" s="50">
        <v>15700</v>
      </c>
      <c r="AA31" s="50">
        <v>15700</v>
      </c>
      <c r="AB31" s="50">
        <v>15600</v>
      </c>
      <c r="AC31" s="50">
        <v>15600</v>
      </c>
      <c r="AD31" s="50">
        <v>14600</v>
      </c>
      <c r="AE31" s="50">
        <v>13100</v>
      </c>
      <c r="AF31" s="50">
        <v>12300</v>
      </c>
      <c r="AG31" s="50">
        <v>12300</v>
      </c>
      <c r="AH31" s="50">
        <v>12300</v>
      </c>
      <c r="AI31" s="41">
        <v>12600</v>
      </c>
      <c r="AJ31" s="50">
        <v>12150</v>
      </c>
      <c r="AK31" s="50">
        <v>12350</v>
      </c>
      <c r="AL31" s="50">
        <v>12600</v>
      </c>
      <c r="AM31" s="50">
        <v>13100</v>
      </c>
      <c r="AN31" s="50">
        <v>14600</v>
      </c>
      <c r="AO31" s="50">
        <v>15100</v>
      </c>
      <c r="AP31" s="50">
        <v>15000</v>
      </c>
      <c r="AQ31" s="50">
        <v>14700</v>
      </c>
      <c r="AR31" s="50"/>
      <c r="AS31" s="50"/>
      <c r="AT31" s="50"/>
      <c r="AU31" s="50"/>
      <c r="AV31" s="50"/>
      <c r="AW31" s="50"/>
      <c r="AX31" s="50"/>
      <c r="AY31" s="50"/>
      <c r="AZ31" s="50"/>
      <c r="BA31" s="42"/>
      <c r="BB31" s="42"/>
      <c r="BC31" s="42"/>
      <c r="BD31" s="42"/>
    </row>
    <row r="32" spans="1:56" ht="18.75" customHeight="1">
      <c r="A32" s="41" t="s">
        <v>7</v>
      </c>
      <c r="B32" s="41" t="s">
        <v>130</v>
      </c>
      <c r="C32" s="161"/>
      <c r="D32" s="41" t="s">
        <v>554</v>
      </c>
      <c r="E32" s="62" t="s">
        <v>62</v>
      </c>
      <c r="F32" s="41" t="s">
        <v>80</v>
      </c>
      <c r="G32" s="41" t="s">
        <v>31</v>
      </c>
      <c r="H32" s="66" t="s">
        <v>173</v>
      </c>
      <c r="I32" s="50">
        <v>1914.65</v>
      </c>
      <c r="J32" s="50">
        <v>1923.59</v>
      </c>
      <c r="K32" s="50">
        <v>2004.1499999999999</v>
      </c>
      <c r="L32" s="50">
        <v>2112.48</v>
      </c>
      <c r="M32" s="50">
        <v>2197</v>
      </c>
      <c r="N32" s="50">
        <v>2215.5899999999997</v>
      </c>
      <c r="O32" s="50">
        <v>1836.1899999999998</v>
      </c>
      <c r="P32" s="50">
        <v>1704.09</v>
      </c>
      <c r="Q32" s="50">
        <v>1795.5</v>
      </c>
      <c r="R32" s="50">
        <v>1840.9199999999998</v>
      </c>
      <c r="S32" s="50">
        <v>1860.24</v>
      </c>
      <c r="T32" s="50">
        <v>1874.04</v>
      </c>
      <c r="U32" s="50">
        <v>1920.2849999999999</v>
      </c>
      <c r="V32" s="50">
        <v>1983.03</v>
      </c>
      <c r="W32" s="50">
        <v>2051.75</v>
      </c>
      <c r="X32" s="50">
        <v>2206.2040000000002</v>
      </c>
      <c r="Y32" s="50">
        <v>2254.2060000000001</v>
      </c>
      <c r="Z32" s="50">
        <v>2278.384</v>
      </c>
      <c r="AA32" s="50">
        <v>2299.7359999999999</v>
      </c>
      <c r="AB32" s="50">
        <f t="shared" ref="AB32:AJ32" si="5">AB31*AB$8</f>
        <v>2280.2520000000004</v>
      </c>
      <c r="AC32" s="50">
        <f t="shared" si="5"/>
        <v>2285.556</v>
      </c>
      <c r="AD32" s="50">
        <f t="shared" si="5"/>
        <v>2138.8415999999997</v>
      </c>
      <c r="AE32" s="50">
        <f t="shared" si="5"/>
        <v>1921.508</v>
      </c>
      <c r="AF32" s="50">
        <f t="shared" si="5"/>
        <v>1797.7434000000001</v>
      </c>
      <c r="AG32" s="50">
        <f t="shared" si="5"/>
        <v>1801.9499999999998</v>
      </c>
      <c r="AH32" s="50">
        <f t="shared" si="5"/>
        <v>1801.9499999999998</v>
      </c>
      <c r="AI32" s="50">
        <f t="shared" si="5"/>
        <v>1845.8999999999999</v>
      </c>
      <c r="AJ32" s="50">
        <f t="shared" si="5"/>
        <v>1780.9469999999999</v>
      </c>
      <c r="AK32" s="50">
        <f t="shared" ref="AK32:BD32" si="6">AK31*AK$8</f>
        <v>1812.4860000000001</v>
      </c>
      <c r="AL32" s="50">
        <f t="shared" si="6"/>
        <v>1846.5300000000002</v>
      </c>
      <c r="AM32" s="50">
        <f t="shared" si="6"/>
        <v>1920.329</v>
      </c>
      <c r="AN32" s="50">
        <f t="shared" si="6"/>
        <v>2139.922</v>
      </c>
      <c r="AO32" s="50">
        <f t="shared" si="6"/>
        <v>2215.0189999999998</v>
      </c>
      <c r="AP32" s="50">
        <f t="shared" si="6"/>
        <v>2200.35</v>
      </c>
      <c r="AQ32" s="50">
        <f t="shared" si="6"/>
        <v>2155.7550000000001</v>
      </c>
      <c r="AR32" s="50">
        <f t="shared" si="6"/>
        <v>0</v>
      </c>
      <c r="AS32" s="50">
        <f t="shared" si="6"/>
        <v>0</v>
      </c>
      <c r="AT32" s="50">
        <f t="shared" si="6"/>
        <v>0</v>
      </c>
      <c r="AU32" s="50">
        <f t="shared" si="6"/>
        <v>0</v>
      </c>
      <c r="AV32" s="50">
        <f t="shared" si="6"/>
        <v>0</v>
      </c>
      <c r="AW32" s="50">
        <f t="shared" si="6"/>
        <v>0</v>
      </c>
      <c r="AX32" s="50">
        <f t="shared" si="6"/>
        <v>0</v>
      </c>
      <c r="AY32" s="50">
        <f t="shared" si="6"/>
        <v>0</v>
      </c>
      <c r="AZ32" s="50">
        <f t="shared" si="6"/>
        <v>0</v>
      </c>
      <c r="BA32" s="50">
        <f t="shared" si="6"/>
        <v>0</v>
      </c>
      <c r="BB32" s="50">
        <f t="shared" si="6"/>
        <v>0</v>
      </c>
      <c r="BC32" s="50">
        <f t="shared" si="6"/>
        <v>0</v>
      </c>
      <c r="BD32" s="50">
        <f t="shared" si="6"/>
        <v>0</v>
      </c>
    </row>
    <row r="33" spans="1:56" ht="18.75" customHeight="1">
      <c r="A33" s="41" t="s">
        <v>7</v>
      </c>
      <c r="B33" s="41" t="s">
        <v>4</v>
      </c>
      <c r="C33" s="152" t="s">
        <v>535</v>
      </c>
      <c r="D33" s="41" t="s">
        <v>536</v>
      </c>
      <c r="E33" s="62" t="s">
        <v>62</v>
      </c>
      <c r="F33" s="41" t="s">
        <v>28</v>
      </c>
      <c r="G33" s="41" t="s">
        <v>31</v>
      </c>
      <c r="H33" s="66" t="s">
        <v>174</v>
      </c>
      <c r="I33" s="41">
        <v>1774.3138636363637</v>
      </c>
      <c r="J33" s="41">
        <v>1783.32088</v>
      </c>
      <c r="K33" s="41">
        <v>1804.8709699999999</v>
      </c>
      <c r="L33" s="41">
        <v>1851.7194</v>
      </c>
      <c r="M33" s="41">
        <v>1857.8062499999999</v>
      </c>
      <c r="N33" s="41">
        <v>1835.7192000000002</v>
      </c>
      <c r="O33" s="41">
        <v>1885.8949999999998</v>
      </c>
      <c r="P33" s="41">
        <v>1883.9226000000001</v>
      </c>
      <c r="Q33" s="41">
        <v>1960.7890950000001</v>
      </c>
      <c r="R33" s="41">
        <v>2025.9248</v>
      </c>
      <c r="S33" s="41">
        <v>2080.6661200000003</v>
      </c>
      <c r="T33" s="41">
        <v>2054.4263999999998</v>
      </c>
      <c r="U33" s="41">
        <v>2115</v>
      </c>
      <c r="V33" s="41">
        <v>2177</v>
      </c>
      <c r="W33" s="41">
        <v>2548</v>
      </c>
      <c r="X33" s="41">
        <v>2552</v>
      </c>
      <c r="Y33" s="41">
        <v>2700</v>
      </c>
      <c r="Z33" s="41">
        <v>2835</v>
      </c>
      <c r="AA33" s="41">
        <v>2739</v>
      </c>
      <c r="AB33" s="41">
        <v>2604</v>
      </c>
      <c r="AC33" s="41">
        <v>2552</v>
      </c>
      <c r="AD33" s="41">
        <v>2397</v>
      </c>
      <c r="AE33" s="41">
        <v>2078</v>
      </c>
      <c r="AF33" s="41">
        <v>2105</v>
      </c>
      <c r="AG33" s="41">
        <v>2018</v>
      </c>
      <c r="AH33" s="41">
        <v>2896</v>
      </c>
      <c r="AI33" s="41">
        <v>1572</v>
      </c>
      <c r="AJ33" s="50">
        <v>1629</v>
      </c>
      <c r="AK33" s="50">
        <v>1669</v>
      </c>
      <c r="AL33" s="50">
        <v>1717</v>
      </c>
      <c r="AM33" s="50">
        <v>1762</v>
      </c>
      <c r="AN33" s="50">
        <v>1853</v>
      </c>
      <c r="AO33" s="50">
        <v>1974</v>
      </c>
      <c r="AP33" s="50">
        <v>2043</v>
      </c>
      <c r="AQ33" s="50">
        <v>2103</v>
      </c>
      <c r="AR33" s="51">
        <v>1828</v>
      </c>
      <c r="AS33" s="51"/>
      <c r="AT33" s="51"/>
      <c r="AU33" s="51"/>
      <c r="AV33" s="51"/>
      <c r="AW33" s="51"/>
      <c r="AX33" s="51"/>
      <c r="AY33" s="51"/>
      <c r="AZ33" s="51"/>
      <c r="BA33" s="51"/>
      <c r="BB33" s="51"/>
      <c r="BC33" s="51"/>
      <c r="BD33" s="51"/>
    </row>
    <row r="34" spans="1:56" ht="18.75" customHeight="1">
      <c r="A34" s="41" t="s">
        <v>558</v>
      </c>
      <c r="B34" s="41" t="s">
        <v>130</v>
      </c>
      <c r="C34" s="161" t="s">
        <v>106</v>
      </c>
      <c r="D34" s="164" t="s">
        <v>559</v>
      </c>
      <c r="E34" s="62" t="s">
        <v>492</v>
      </c>
      <c r="F34" s="41" t="s">
        <v>80</v>
      </c>
      <c r="G34" s="41" t="s">
        <v>57</v>
      </c>
      <c r="H34" s="66" t="s">
        <v>526</v>
      </c>
      <c r="I34" s="41"/>
      <c r="J34" s="41"/>
      <c r="K34" s="41"/>
      <c r="L34" s="41"/>
      <c r="M34" s="41"/>
      <c r="N34" s="41"/>
      <c r="O34" s="41"/>
      <c r="P34" s="41"/>
      <c r="Q34" s="41"/>
      <c r="R34" s="41"/>
      <c r="S34" s="41"/>
      <c r="T34" s="41"/>
      <c r="U34" s="41"/>
      <c r="V34" s="41"/>
      <c r="W34" s="41"/>
      <c r="X34" s="41"/>
      <c r="Y34" s="41">
        <v>20400</v>
      </c>
      <c r="Z34" s="41">
        <v>19194.740000000002</v>
      </c>
      <c r="AA34" s="41">
        <v>18730.150000000001</v>
      </c>
      <c r="AB34" s="41">
        <v>17519.05</v>
      </c>
      <c r="AC34" s="41">
        <v>17400</v>
      </c>
      <c r="AD34" s="41">
        <v>8600</v>
      </c>
      <c r="AE34" s="41">
        <v>8275</v>
      </c>
      <c r="AF34" s="41">
        <v>8366.67</v>
      </c>
      <c r="AG34" s="41">
        <v>9613.3333000000002</v>
      </c>
      <c r="AH34" s="41">
        <v>10260</v>
      </c>
      <c r="AI34" s="41">
        <v>9559.1</v>
      </c>
      <c r="AJ34" s="50">
        <v>12195.2</v>
      </c>
      <c r="AK34" s="50">
        <v>10550</v>
      </c>
      <c r="AL34" s="50">
        <v>10413.6</v>
      </c>
      <c r="AM34" s="50">
        <v>10769.6</v>
      </c>
      <c r="AN34" s="50">
        <v>12819</v>
      </c>
      <c r="AO34" s="50">
        <v>12800</v>
      </c>
      <c r="AP34" s="50">
        <v>12650</v>
      </c>
      <c r="AQ34" s="50">
        <v>12150</v>
      </c>
      <c r="AR34" s="51"/>
      <c r="AS34" s="51"/>
      <c r="AT34" s="51"/>
      <c r="AU34" s="51"/>
      <c r="AV34" s="51"/>
      <c r="AW34" s="51"/>
      <c r="AX34" s="51"/>
      <c r="AY34" s="51"/>
      <c r="AZ34" s="51"/>
      <c r="BA34" s="51"/>
      <c r="BB34" s="51"/>
      <c r="BC34" s="51"/>
      <c r="BD34" s="51"/>
    </row>
    <row r="35" spans="1:56" ht="18.75" customHeight="1">
      <c r="A35" s="41" t="s">
        <v>525</v>
      </c>
      <c r="B35" s="41" t="s">
        <v>130</v>
      </c>
      <c r="C35" s="161" t="s">
        <v>106</v>
      </c>
      <c r="D35" s="41" t="s">
        <v>523</v>
      </c>
      <c r="E35" s="62" t="s">
        <v>508</v>
      </c>
      <c r="F35" s="41" t="s">
        <v>501</v>
      </c>
      <c r="G35" s="41" t="s">
        <v>502</v>
      </c>
      <c r="H35" s="66" t="s">
        <v>524</v>
      </c>
      <c r="I35" s="41"/>
      <c r="J35" s="41"/>
      <c r="K35" s="41"/>
      <c r="L35" s="41"/>
      <c r="M35" s="41"/>
      <c r="N35" s="41"/>
      <c r="O35" s="41"/>
      <c r="P35" s="41"/>
      <c r="Q35" s="41"/>
      <c r="R35" s="41"/>
      <c r="S35" s="41"/>
      <c r="T35" s="41"/>
      <c r="U35" s="41"/>
      <c r="V35" s="41"/>
      <c r="W35" s="41"/>
      <c r="X35" s="41"/>
      <c r="Y35" s="41"/>
      <c r="Z35" s="41"/>
      <c r="AA35" s="41"/>
      <c r="AB35" s="41"/>
      <c r="AC35" s="41"/>
      <c r="AD35" s="41"/>
      <c r="AE35" s="41"/>
      <c r="AF35" s="41"/>
      <c r="AG35" s="41"/>
      <c r="AH35" s="41"/>
      <c r="AI35" s="41"/>
      <c r="AJ35" s="50"/>
      <c r="AK35" s="50"/>
      <c r="AL35" s="50"/>
      <c r="AM35" s="50"/>
      <c r="AN35" s="50"/>
      <c r="AO35" s="50">
        <v>5300</v>
      </c>
      <c r="AP35" s="50">
        <v>5250</v>
      </c>
      <c r="AQ35" s="50">
        <v>5250</v>
      </c>
      <c r="AR35" s="51"/>
      <c r="AS35" s="51"/>
      <c r="AT35" s="51"/>
      <c r="AU35" s="51"/>
      <c r="AV35" s="51"/>
      <c r="AW35" s="51"/>
      <c r="AX35" s="51"/>
      <c r="AY35" s="51"/>
      <c r="AZ35" s="51"/>
      <c r="BA35" s="51"/>
      <c r="BB35" s="51"/>
      <c r="BC35" s="51"/>
      <c r="BD35" s="51"/>
    </row>
    <row r="36" spans="1:56" ht="18.75" customHeight="1">
      <c r="A36" s="153" t="s">
        <v>59</v>
      </c>
      <c r="B36" s="37" t="s">
        <v>60</v>
      </c>
      <c r="C36" s="156" t="s">
        <v>565</v>
      </c>
      <c r="D36" s="155" t="s">
        <v>567</v>
      </c>
      <c r="E36" s="63" t="s">
        <v>64</v>
      </c>
      <c r="F36" s="37" t="s">
        <v>29</v>
      </c>
      <c r="G36" s="37" t="s">
        <v>31</v>
      </c>
      <c r="H36" s="67" t="s">
        <v>175</v>
      </c>
      <c r="I36" s="37"/>
      <c r="J36" s="37"/>
      <c r="K36" s="37"/>
      <c r="L36" s="37">
        <v>1550</v>
      </c>
      <c r="M36" s="37">
        <v>1600</v>
      </c>
      <c r="N36" s="37">
        <v>1700</v>
      </c>
      <c r="O36" s="37">
        <v>1700</v>
      </c>
      <c r="P36" s="37">
        <v>1700</v>
      </c>
      <c r="Q36" s="37">
        <v>1700</v>
      </c>
      <c r="R36" s="37">
        <v>1750</v>
      </c>
      <c r="S36" s="37">
        <v>1750</v>
      </c>
      <c r="T36" s="37">
        <v>1750</v>
      </c>
      <c r="U36" s="37">
        <v>1700</v>
      </c>
      <c r="V36" s="37">
        <v>1750</v>
      </c>
      <c r="W36" s="37">
        <v>1870</v>
      </c>
      <c r="X36" s="37">
        <v>1750</v>
      </c>
      <c r="Y36" s="37">
        <v>1900</v>
      </c>
      <c r="Z36" s="37">
        <v>2200</v>
      </c>
      <c r="AA36" s="37">
        <v>2300</v>
      </c>
      <c r="AB36" s="37">
        <v>2250</v>
      </c>
      <c r="AC36" s="37">
        <v>2200</v>
      </c>
      <c r="AD36" s="37">
        <v>1970</v>
      </c>
      <c r="AE36" s="37">
        <v>1570</v>
      </c>
      <c r="AF36" s="37">
        <v>1265</v>
      </c>
      <c r="AG36" s="37">
        <v>1080</v>
      </c>
      <c r="AH36" s="37">
        <v>1110</v>
      </c>
      <c r="AI36" s="37">
        <v>1165</v>
      </c>
      <c r="AJ36" s="37">
        <v>1510</v>
      </c>
      <c r="AK36" s="37">
        <v>1410</v>
      </c>
      <c r="AL36" s="37">
        <v>1375</v>
      </c>
      <c r="AM36" s="37">
        <v>1400</v>
      </c>
      <c r="AN36" s="37">
        <v>1460</v>
      </c>
      <c r="AO36" s="37">
        <v>1550</v>
      </c>
      <c r="AP36" s="37">
        <v>1475</v>
      </c>
      <c r="AQ36" s="37">
        <v>1480</v>
      </c>
      <c r="AR36" s="37">
        <v>1585</v>
      </c>
      <c r="AS36" s="37"/>
      <c r="AT36" s="37"/>
      <c r="AU36" s="37"/>
      <c r="AV36" s="37"/>
      <c r="AW36" s="37"/>
      <c r="AX36" s="37"/>
      <c r="AY36" s="37"/>
      <c r="AZ36" s="37"/>
      <c r="BA36" s="38"/>
      <c r="BB36" s="38"/>
      <c r="BC36" s="38"/>
      <c r="BD36" s="38"/>
    </row>
    <row r="37" spans="1:56" ht="18.75" customHeight="1">
      <c r="A37" s="37" t="s">
        <v>11</v>
      </c>
      <c r="B37" s="37" t="s">
        <v>9</v>
      </c>
      <c r="C37" s="154" t="s">
        <v>542</v>
      </c>
      <c r="D37" s="37" t="s">
        <v>537</v>
      </c>
      <c r="E37" s="63" t="s">
        <v>64</v>
      </c>
      <c r="F37" s="37" t="s">
        <v>28</v>
      </c>
      <c r="G37" s="37" t="s">
        <v>31</v>
      </c>
      <c r="H37" s="67" t="s">
        <v>176</v>
      </c>
      <c r="I37" s="52">
        <v>1411</v>
      </c>
      <c r="J37" s="52">
        <v>1383</v>
      </c>
      <c r="K37" s="52">
        <v>1389</v>
      </c>
      <c r="L37" s="52">
        <v>1426</v>
      </c>
      <c r="M37" s="52">
        <v>1463</v>
      </c>
      <c r="N37" s="52">
        <v>1488</v>
      </c>
      <c r="O37" s="52">
        <v>1461</v>
      </c>
      <c r="P37" s="52">
        <v>1445</v>
      </c>
      <c r="Q37" s="52">
        <v>1419</v>
      </c>
      <c r="R37" s="52">
        <v>1390</v>
      </c>
      <c r="S37" s="52">
        <v>1370</v>
      </c>
      <c r="T37" s="52">
        <v>1358</v>
      </c>
      <c r="U37" s="52">
        <v>1375</v>
      </c>
      <c r="V37" s="52">
        <v>1399</v>
      </c>
      <c r="W37" s="52">
        <v>1440</v>
      </c>
      <c r="X37" s="52">
        <v>1424</v>
      </c>
      <c r="Y37" s="52">
        <v>1414</v>
      </c>
      <c r="Z37" s="52">
        <v>1498</v>
      </c>
      <c r="AA37" s="52">
        <v>1548</v>
      </c>
      <c r="AB37" s="52">
        <v>1598</v>
      </c>
      <c r="AC37" s="52">
        <v>1568</v>
      </c>
      <c r="AD37" s="52">
        <v>1504</v>
      </c>
      <c r="AE37" s="52">
        <v>1273</v>
      </c>
      <c r="AF37" s="52">
        <v>1065</v>
      </c>
      <c r="AG37" s="52">
        <v>948</v>
      </c>
      <c r="AH37" s="52">
        <v>939</v>
      </c>
      <c r="AI37" s="52">
        <v>954</v>
      </c>
      <c r="AJ37" s="52">
        <v>1004</v>
      </c>
      <c r="AK37" s="52">
        <v>1054</v>
      </c>
      <c r="AL37" s="52">
        <v>1104</v>
      </c>
      <c r="AM37" s="52">
        <v>1153</v>
      </c>
      <c r="AN37" s="52">
        <v>1278</v>
      </c>
      <c r="AO37" s="52">
        <v>1251</v>
      </c>
      <c r="AP37" s="52">
        <v>1208</v>
      </c>
      <c r="AQ37" s="52">
        <v>1190</v>
      </c>
      <c r="AR37" s="52">
        <v>1207</v>
      </c>
      <c r="AS37" s="52">
        <v>1342</v>
      </c>
      <c r="AT37" s="52"/>
      <c r="AU37" s="52"/>
      <c r="AV37" s="52"/>
      <c r="AW37" s="52"/>
      <c r="AX37" s="52"/>
      <c r="AY37" s="52"/>
      <c r="AZ37" s="52"/>
      <c r="BA37" s="38"/>
      <c r="BB37" s="38"/>
      <c r="BC37" s="38"/>
      <c r="BD37" s="38"/>
    </row>
    <row r="38" spans="1:56" ht="18.75" customHeight="1">
      <c r="A38" s="153" t="s">
        <v>81</v>
      </c>
      <c r="B38" s="37" t="s">
        <v>60</v>
      </c>
      <c r="C38" s="156" t="s">
        <v>565</v>
      </c>
      <c r="D38" s="37" t="s">
        <v>26</v>
      </c>
      <c r="E38" s="63" t="s">
        <v>64</v>
      </c>
      <c r="F38" s="37" t="s">
        <v>29</v>
      </c>
      <c r="G38" s="37" t="s">
        <v>31</v>
      </c>
      <c r="H38" s="67" t="s">
        <v>178</v>
      </c>
      <c r="I38" s="37"/>
      <c r="J38" s="37"/>
      <c r="K38" s="37"/>
      <c r="L38" s="37">
        <v>1250</v>
      </c>
      <c r="M38" s="37">
        <v>1250</v>
      </c>
      <c r="N38" s="37">
        <v>1300</v>
      </c>
      <c r="O38" s="37">
        <v>1330</v>
      </c>
      <c r="P38" s="37">
        <v>1350</v>
      </c>
      <c r="Q38" s="37">
        <v>1350</v>
      </c>
      <c r="R38" s="37">
        <v>1350</v>
      </c>
      <c r="S38" s="37">
        <v>1350</v>
      </c>
      <c r="T38" s="37">
        <v>1400</v>
      </c>
      <c r="U38" s="37">
        <v>1400</v>
      </c>
      <c r="V38" s="37">
        <v>1500</v>
      </c>
      <c r="W38" s="37">
        <v>1530</v>
      </c>
      <c r="X38" s="37">
        <v>1550</v>
      </c>
      <c r="Y38" s="37">
        <v>1600</v>
      </c>
      <c r="Z38" s="37">
        <v>1800</v>
      </c>
      <c r="AA38" s="37">
        <v>2100</v>
      </c>
      <c r="AB38" s="37">
        <v>2000</v>
      </c>
      <c r="AC38" s="37">
        <v>1800</v>
      </c>
      <c r="AD38" s="37">
        <v>1600</v>
      </c>
      <c r="AE38" s="37">
        <v>1035</v>
      </c>
      <c r="AF38" s="37">
        <v>775</v>
      </c>
      <c r="AG38" s="37">
        <v>825</v>
      </c>
      <c r="AH38" s="37">
        <v>840</v>
      </c>
      <c r="AI38" s="37">
        <v>915</v>
      </c>
      <c r="AJ38" s="37">
        <v>1105</v>
      </c>
      <c r="AK38" s="37">
        <v>1135</v>
      </c>
      <c r="AL38" s="37">
        <v>1210</v>
      </c>
      <c r="AM38" s="37">
        <v>1275</v>
      </c>
      <c r="AN38" s="37">
        <v>1300</v>
      </c>
      <c r="AO38" s="52">
        <v>1375</v>
      </c>
      <c r="AP38" s="37">
        <v>1250</v>
      </c>
      <c r="AQ38" s="37">
        <v>1200</v>
      </c>
      <c r="AR38" s="37">
        <v>1325</v>
      </c>
      <c r="AS38" s="37"/>
      <c r="AT38" s="37"/>
      <c r="AU38" s="37"/>
      <c r="AV38" s="37"/>
      <c r="AW38" s="37"/>
      <c r="AX38" s="37"/>
      <c r="AY38" s="37"/>
      <c r="AZ38" s="37"/>
      <c r="BA38" s="38"/>
      <c r="BB38" s="38"/>
      <c r="BC38" s="38"/>
      <c r="BD38" s="38"/>
    </row>
    <row r="39" spans="1:56" ht="18.75" customHeight="1">
      <c r="A39" s="153" t="s">
        <v>81</v>
      </c>
      <c r="B39" s="37" t="s">
        <v>9</v>
      </c>
      <c r="C39" s="154" t="s">
        <v>23</v>
      </c>
      <c r="D39" s="37" t="s">
        <v>557</v>
      </c>
      <c r="E39" s="63" t="s">
        <v>64</v>
      </c>
      <c r="F39" s="37" t="s">
        <v>550</v>
      </c>
      <c r="G39" s="37" t="s">
        <v>551</v>
      </c>
      <c r="H39" s="67" t="s">
        <v>552</v>
      </c>
      <c r="I39" s="37">
        <v>1164</v>
      </c>
      <c r="J39" s="37">
        <v>1169</v>
      </c>
      <c r="K39" s="37">
        <v>1176</v>
      </c>
      <c r="L39" s="37">
        <v>1192</v>
      </c>
      <c r="M39" s="37">
        <v>1206</v>
      </c>
      <c r="N39" s="37">
        <v>1219</v>
      </c>
      <c r="O39" s="37">
        <v>1248</v>
      </c>
      <c r="P39" s="37">
        <v>1260</v>
      </c>
      <c r="Q39" s="37">
        <v>1270</v>
      </c>
      <c r="R39" s="37">
        <v>1269</v>
      </c>
      <c r="S39" s="37">
        <v>1249</v>
      </c>
      <c r="T39" s="37">
        <v>1245</v>
      </c>
      <c r="U39" s="37">
        <v>1267</v>
      </c>
      <c r="V39" s="37">
        <v>1273</v>
      </c>
      <c r="W39" s="37">
        <v>1243</v>
      </c>
      <c r="X39" s="37">
        <v>1218</v>
      </c>
      <c r="Y39" s="37">
        <v>1190</v>
      </c>
      <c r="Z39" s="37">
        <v>1203</v>
      </c>
      <c r="AA39" s="157">
        <v>1295</v>
      </c>
      <c r="AB39" s="37">
        <v>1345</v>
      </c>
      <c r="AC39" s="37">
        <v>1315</v>
      </c>
      <c r="AD39" s="37">
        <v>1215</v>
      </c>
      <c r="AE39" s="37">
        <v>1011</v>
      </c>
      <c r="AF39" s="37">
        <v>772</v>
      </c>
      <c r="AG39" s="37">
        <v>765</v>
      </c>
      <c r="AH39" s="37">
        <v>769</v>
      </c>
      <c r="AI39" s="37">
        <v>797</v>
      </c>
      <c r="AJ39" s="37">
        <v>798</v>
      </c>
      <c r="AK39" s="37">
        <v>799</v>
      </c>
      <c r="AL39" s="37">
        <v>828</v>
      </c>
      <c r="AM39" s="37">
        <v>920</v>
      </c>
      <c r="AN39" s="37">
        <v>978</v>
      </c>
      <c r="AO39" s="52">
        <v>1083</v>
      </c>
      <c r="AP39" s="37">
        <v>1046</v>
      </c>
      <c r="AQ39" s="37">
        <v>1012</v>
      </c>
      <c r="AR39" s="37">
        <v>1010</v>
      </c>
      <c r="AS39" s="37">
        <v>1062</v>
      </c>
      <c r="AT39" s="37"/>
      <c r="AU39" s="37"/>
      <c r="AV39" s="37"/>
      <c r="AW39" s="37"/>
      <c r="AX39" s="37"/>
      <c r="AY39" s="37"/>
      <c r="AZ39" s="37"/>
      <c r="BA39" s="38"/>
      <c r="BB39" s="38"/>
      <c r="BC39" s="38"/>
      <c r="BD39" s="38"/>
    </row>
    <row r="40" spans="1:56" ht="18.75" customHeight="1">
      <c r="A40" s="153" t="s">
        <v>81</v>
      </c>
      <c r="B40" s="37" t="s">
        <v>9</v>
      </c>
      <c r="C40" s="154"/>
      <c r="D40" s="37" t="s">
        <v>555</v>
      </c>
      <c r="E40" s="63" t="s">
        <v>64</v>
      </c>
      <c r="F40" s="37" t="s">
        <v>550</v>
      </c>
      <c r="G40" s="37" t="s">
        <v>556</v>
      </c>
      <c r="H40" s="67" t="s">
        <v>553</v>
      </c>
      <c r="I40" s="37">
        <f>I39*I9</f>
        <v>1513.4211599999999</v>
      </c>
      <c r="J40" s="37">
        <f t="shared" ref="J40:AP40" si="7">J39*J9</f>
        <v>1527.6492000000001</v>
      </c>
      <c r="K40" s="37">
        <f t="shared" si="7"/>
        <v>1556.9887200000001</v>
      </c>
      <c r="L40" s="37">
        <f t="shared" si="7"/>
        <v>1609.4384</v>
      </c>
      <c r="M40" s="37">
        <f t="shared" si="7"/>
        <v>1631.115</v>
      </c>
      <c r="N40" s="37">
        <f t="shared" si="7"/>
        <v>1636.05647</v>
      </c>
      <c r="O40" s="37">
        <f t="shared" si="7"/>
        <v>1710.8208</v>
      </c>
      <c r="P40" s="37">
        <f t="shared" si="7"/>
        <v>1717.8462</v>
      </c>
      <c r="Q40" s="37">
        <f t="shared" si="7"/>
        <v>1763.7124999999999</v>
      </c>
      <c r="R40" s="37">
        <f t="shared" si="7"/>
        <v>1805.6854799999999</v>
      </c>
      <c r="S40" s="37">
        <f t="shared" si="7"/>
        <v>1832.2080599999999</v>
      </c>
      <c r="T40" s="37">
        <f t="shared" si="7"/>
        <v>1813.0063499999999</v>
      </c>
      <c r="U40" s="37">
        <f t="shared" si="7"/>
        <v>1862.9081099999999</v>
      </c>
      <c r="V40" s="37">
        <f t="shared" si="7"/>
        <v>1872.69757</v>
      </c>
      <c r="W40" s="37">
        <f t="shared" si="7"/>
        <v>1925.19569</v>
      </c>
      <c r="X40" s="37">
        <f t="shared" si="7"/>
        <v>1920.1404600000001</v>
      </c>
      <c r="Y40" s="37">
        <f t="shared" si="7"/>
        <v>1852.0208</v>
      </c>
      <c r="Z40" s="37">
        <f t="shared" si="7"/>
        <v>1873.5882900000001</v>
      </c>
      <c r="AA40" s="37">
        <f t="shared" si="7"/>
        <v>2044.0020999999999</v>
      </c>
      <c r="AB40" s="37">
        <f t="shared" si="7"/>
        <v>2017.2040999999999</v>
      </c>
      <c r="AC40" s="37">
        <f t="shared" si="7"/>
        <v>1893.337</v>
      </c>
      <c r="AD40" s="37">
        <f t="shared" si="7"/>
        <v>1623.90825</v>
      </c>
      <c r="AE40" s="37">
        <f t="shared" si="7"/>
        <v>1285.2236399999999</v>
      </c>
      <c r="AF40" s="37">
        <f t="shared" si="7"/>
        <v>1040.02296</v>
      </c>
      <c r="AG40" s="37">
        <f t="shared" si="7"/>
        <v>1021.97115</v>
      </c>
      <c r="AH40" s="37">
        <f t="shared" si="7"/>
        <v>985.6349899999999</v>
      </c>
      <c r="AI40" s="37">
        <f t="shared" si="7"/>
        <v>1039.1286</v>
      </c>
      <c r="AJ40" s="37">
        <f t="shared" si="7"/>
        <v>1054.0542599999999</v>
      </c>
      <c r="AK40" s="37">
        <f t="shared" si="7"/>
        <v>1089.5563500000001</v>
      </c>
      <c r="AL40" s="37">
        <f t="shared" si="7"/>
        <v>1160.5330799999999</v>
      </c>
      <c r="AM40" s="37">
        <f t="shared" si="7"/>
        <v>1294.8263999999999</v>
      </c>
      <c r="AN40" s="37">
        <f t="shared" si="7"/>
        <v>1394.4030600000001</v>
      </c>
      <c r="AO40" s="37">
        <f t="shared" si="7"/>
        <v>1575.95994</v>
      </c>
      <c r="AP40" s="37">
        <f t="shared" si="7"/>
        <v>1549.1469199999999</v>
      </c>
      <c r="AQ40" s="37">
        <f t="shared" ref="AQ40" si="8">AQ39*AQ9</f>
        <v>1507.7788</v>
      </c>
      <c r="AR40" s="37">
        <f t="shared" ref="AR40" si="9">AR39*AR9</f>
        <v>1475.2464</v>
      </c>
      <c r="AS40" s="37">
        <f t="shared" ref="AS40" si="10">AS39*AS9</f>
        <v>1517.0032799999999</v>
      </c>
      <c r="AT40" s="37">
        <f t="shared" ref="AT40" si="11">AT39*AT9</f>
        <v>0</v>
      </c>
      <c r="AU40" s="37">
        <f t="shared" ref="AU40" si="12">AU39*AU9</f>
        <v>0</v>
      </c>
      <c r="AV40" s="37">
        <f t="shared" ref="AV40" si="13">AV39*AV9</f>
        <v>0</v>
      </c>
      <c r="AW40" s="37">
        <f t="shared" ref="AW40" si="14">AW39*AW9</f>
        <v>0</v>
      </c>
      <c r="AX40" s="37">
        <f t="shared" ref="AX40" si="15">AX39*AX9</f>
        <v>0</v>
      </c>
      <c r="AY40" s="37">
        <f t="shared" ref="AY40" si="16">AY39*AY9</f>
        <v>0</v>
      </c>
      <c r="AZ40" s="37">
        <f t="shared" ref="AZ40" si="17">AZ39*AZ9</f>
        <v>0</v>
      </c>
      <c r="BA40" s="37">
        <f t="shared" ref="BA40" si="18">BA39*BA9</f>
        <v>0</v>
      </c>
      <c r="BB40" s="37">
        <f t="shared" ref="BB40" si="19">BB39*BB9</f>
        <v>0</v>
      </c>
      <c r="BC40" s="37">
        <f t="shared" ref="BC40" si="20">BC39*BC9</f>
        <v>0</v>
      </c>
      <c r="BD40" s="37">
        <f t="shared" ref="BD40" si="21">BD39*BD9</f>
        <v>0</v>
      </c>
    </row>
    <row r="41" spans="1:56" ht="18.75" customHeight="1">
      <c r="A41" s="37" t="s">
        <v>10</v>
      </c>
      <c r="B41" s="37" t="s">
        <v>9</v>
      </c>
      <c r="C41" s="154" t="s">
        <v>23</v>
      </c>
      <c r="D41" s="37" t="s">
        <v>549</v>
      </c>
      <c r="E41" s="63" t="s">
        <v>64</v>
      </c>
      <c r="F41" s="37" t="s">
        <v>80</v>
      </c>
      <c r="G41" s="37" t="s">
        <v>31</v>
      </c>
      <c r="H41" s="67" t="s">
        <v>177</v>
      </c>
      <c r="I41" s="52">
        <v>1248</v>
      </c>
      <c r="J41" s="52">
        <v>1220</v>
      </c>
      <c r="K41" s="52">
        <v>1235</v>
      </c>
      <c r="L41" s="52">
        <v>1251</v>
      </c>
      <c r="M41" s="52">
        <v>1276</v>
      </c>
      <c r="N41" s="52">
        <v>1321</v>
      </c>
      <c r="O41" s="52">
        <v>1351</v>
      </c>
      <c r="P41" s="52">
        <v>1368</v>
      </c>
      <c r="Q41" s="52">
        <v>1361</v>
      </c>
      <c r="R41" s="52">
        <v>1350</v>
      </c>
      <c r="S41" s="52">
        <v>1390</v>
      </c>
      <c r="T41" s="52">
        <v>1420</v>
      </c>
      <c r="U41" s="52">
        <v>1443</v>
      </c>
      <c r="V41" s="52">
        <v>1468</v>
      </c>
      <c r="W41" s="52">
        <v>1510</v>
      </c>
      <c r="X41" s="52">
        <v>1543</v>
      </c>
      <c r="Y41" s="52">
        <v>1656</v>
      </c>
      <c r="Z41" s="52">
        <v>1934</v>
      </c>
      <c r="AA41" s="53">
        <v>1980</v>
      </c>
      <c r="AB41" s="52">
        <v>1723</v>
      </c>
      <c r="AC41" s="52">
        <v>1471</v>
      </c>
      <c r="AD41" s="52">
        <v>1005</v>
      </c>
      <c r="AE41" s="52">
        <v>678</v>
      </c>
      <c r="AF41" s="52">
        <v>750</v>
      </c>
      <c r="AG41" s="52">
        <v>786</v>
      </c>
      <c r="AH41" s="52">
        <v>878</v>
      </c>
      <c r="AI41" s="52">
        <v>898</v>
      </c>
      <c r="AJ41" s="52">
        <v>1049</v>
      </c>
      <c r="AK41" s="52">
        <v>1059</v>
      </c>
      <c r="AL41" s="52">
        <v>1093</v>
      </c>
      <c r="AM41" s="52">
        <v>1115</v>
      </c>
      <c r="AN41" s="52">
        <v>1159</v>
      </c>
      <c r="AO41" s="52">
        <v>1105</v>
      </c>
      <c r="AP41" s="52">
        <v>1054</v>
      </c>
      <c r="AQ41" s="52">
        <v>1131</v>
      </c>
      <c r="AR41" s="52">
        <v>1182</v>
      </c>
      <c r="AS41" s="52">
        <v>1273</v>
      </c>
      <c r="AT41" s="52"/>
      <c r="AU41" s="52"/>
      <c r="AV41" s="52"/>
      <c r="AW41" s="52"/>
      <c r="AX41" s="52"/>
      <c r="AY41" s="52"/>
      <c r="AZ41" s="52"/>
      <c r="BA41" s="38"/>
      <c r="BB41" s="38"/>
      <c r="BC41" s="38"/>
      <c r="BD41" s="38"/>
    </row>
    <row r="42" spans="1:56" ht="18.75" customHeight="1">
      <c r="A42" s="37" t="s">
        <v>36</v>
      </c>
      <c r="B42" s="37" t="s">
        <v>60</v>
      </c>
      <c r="C42" s="156" t="s">
        <v>565</v>
      </c>
      <c r="D42" s="37" t="s">
        <v>26</v>
      </c>
      <c r="E42" s="63" t="s">
        <v>64</v>
      </c>
      <c r="F42" s="37" t="s">
        <v>29</v>
      </c>
      <c r="G42" s="37" t="s">
        <v>31</v>
      </c>
      <c r="H42" s="67" t="s">
        <v>179</v>
      </c>
      <c r="I42" s="52"/>
      <c r="J42" s="52"/>
      <c r="K42" s="52"/>
      <c r="L42" s="52">
        <v>3300</v>
      </c>
      <c r="M42" s="52">
        <v>3300</v>
      </c>
      <c r="N42" s="52">
        <v>3150</v>
      </c>
      <c r="O42" s="52">
        <v>3150</v>
      </c>
      <c r="P42" s="52">
        <v>3150</v>
      </c>
      <c r="Q42" s="52">
        <v>3150</v>
      </c>
      <c r="R42" s="52">
        <v>3150</v>
      </c>
      <c r="S42" s="52">
        <v>3150</v>
      </c>
      <c r="T42" s="52">
        <v>3150</v>
      </c>
      <c r="U42" s="52">
        <v>3150</v>
      </c>
      <c r="V42" s="52">
        <v>3200</v>
      </c>
      <c r="W42" s="52">
        <v>3200</v>
      </c>
      <c r="X42" s="52">
        <v>3250</v>
      </c>
      <c r="Y42" s="52">
        <v>3300</v>
      </c>
      <c r="Z42" s="52">
        <v>3350</v>
      </c>
      <c r="AA42" s="52">
        <v>3425</v>
      </c>
      <c r="AB42" s="52">
        <v>3425</v>
      </c>
      <c r="AC42" s="52">
        <v>3425</v>
      </c>
      <c r="AD42" s="52">
        <v>3425</v>
      </c>
      <c r="AE42" s="52">
        <v>3425</v>
      </c>
      <c r="AF42" s="52">
        <v>3425</v>
      </c>
      <c r="AG42" s="52">
        <v>3425</v>
      </c>
      <c r="AH42" s="52">
        <v>3425</v>
      </c>
      <c r="AI42" s="52">
        <v>3450</v>
      </c>
      <c r="AJ42" s="52">
        <v>3450</v>
      </c>
      <c r="AK42" s="52">
        <v>3450</v>
      </c>
      <c r="AL42" s="52">
        <v>3450</v>
      </c>
      <c r="AM42" s="52">
        <v>3450</v>
      </c>
      <c r="AN42" s="52">
        <v>3450</v>
      </c>
      <c r="AO42" s="52">
        <v>3550</v>
      </c>
      <c r="AP42" s="52">
        <v>3550</v>
      </c>
      <c r="AQ42" s="52">
        <v>3550</v>
      </c>
      <c r="AR42" s="52">
        <v>3775</v>
      </c>
      <c r="AS42" s="52"/>
      <c r="AT42" s="52"/>
      <c r="AU42" s="52"/>
      <c r="AV42" s="52"/>
      <c r="AW42" s="52"/>
      <c r="AX42" s="52"/>
      <c r="AY42" s="52"/>
      <c r="AZ42" s="52"/>
      <c r="BA42" s="38"/>
      <c r="BB42" s="38"/>
      <c r="BC42" s="38"/>
      <c r="BD42" s="38"/>
    </row>
    <row r="43" spans="1:56" ht="18.75" customHeight="1">
      <c r="A43" s="37" t="s">
        <v>17</v>
      </c>
      <c r="B43" s="37" t="s">
        <v>60</v>
      </c>
      <c r="C43" s="156" t="s">
        <v>565</v>
      </c>
      <c r="D43" s="155" t="s">
        <v>26</v>
      </c>
      <c r="E43" s="63" t="s">
        <v>64</v>
      </c>
      <c r="F43" s="37" t="s">
        <v>29</v>
      </c>
      <c r="G43" s="37" t="s">
        <v>31</v>
      </c>
      <c r="H43" s="67" t="s">
        <v>180</v>
      </c>
      <c r="I43" s="52"/>
      <c r="J43" s="52"/>
      <c r="K43" s="52"/>
      <c r="L43" s="52">
        <v>2875</v>
      </c>
      <c r="M43" s="52">
        <v>2875</v>
      </c>
      <c r="N43" s="52">
        <v>2800</v>
      </c>
      <c r="O43" s="52">
        <v>2800</v>
      </c>
      <c r="P43" s="52">
        <v>2875</v>
      </c>
      <c r="Q43" s="52">
        <v>2875</v>
      </c>
      <c r="R43" s="52">
        <v>2875</v>
      </c>
      <c r="S43" s="52">
        <v>2875</v>
      </c>
      <c r="T43" s="52">
        <v>2900</v>
      </c>
      <c r="U43" s="52">
        <v>2900</v>
      </c>
      <c r="V43" s="52">
        <v>2900</v>
      </c>
      <c r="W43" s="52">
        <v>2900</v>
      </c>
      <c r="X43" s="52">
        <v>2900</v>
      </c>
      <c r="Y43" s="52">
        <v>2900</v>
      </c>
      <c r="Z43" s="52">
        <v>2750</v>
      </c>
      <c r="AA43" s="52">
        <v>3000</v>
      </c>
      <c r="AB43" s="52">
        <v>3000</v>
      </c>
      <c r="AC43" s="52">
        <v>2875</v>
      </c>
      <c r="AD43" s="52">
        <v>2875</v>
      </c>
      <c r="AE43" s="52">
        <v>2750</v>
      </c>
      <c r="AF43" s="52">
        <v>2725</v>
      </c>
      <c r="AG43" s="52">
        <v>2650</v>
      </c>
      <c r="AH43" s="52">
        <v>2550</v>
      </c>
      <c r="AI43" s="52">
        <v>2150</v>
      </c>
      <c r="AJ43" s="52">
        <v>2150</v>
      </c>
      <c r="AK43" s="52">
        <v>2175</v>
      </c>
      <c r="AL43" s="52">
        <v>2175</v>
      </c>
      <c r="AM43" s="52">
        <v>2150</v>
      </c>
      <c r="AN43" s="52">
        <v>2175</v>
      </c>
      <c r="AO43" s="52">
        <v>2400</v>
      </c>
      <c r="AP43" s="52">
        <v>2425</v>
      </c>
      <c r="AQ43" s="52">
        <v>2425</v>
      </c>
      <c r="AR43" s="52">
        <v>2725</v>
      </c>
      <c r="AS43" s="52"/>
      <c r="AT43" s="52"/>
      <c r="AU43" s="52"/>
      <c r="AV43" s="52"/>
      <c r="AW43" s="52"/>
      <c r="AX43" s="52"/>
      <c r="AY43" s="52"/>
      <c r="AZ43" s="52"/>
      <c r="BA43" s="38"/>
      <c r="BB43" s="38"/>
      <c r="BC43" s="38"/>
      <c r="BD43" s="38"/>
    </row>
    <row r="44" spans="1:56" ht="18.75" customHeight="1">
      <c r="A44" s="37" t="s">
        <v>203</v>
      </c>
      <c r="B44" s="37" t="s">
        <v>9</v>
      </c>
      <c r="C44" s="154" t="s">
        <v>24</v>
      </c>
      <c r="D44" s="37" t="s">
        <v>561</v>
      </c>
      <c r="E44" s="63" t="s">
        <v>64</v>
      </c>
      <c r="F44" s="37" t="s">
        <v>80</v>
      </c>
      <c r="G44" s="37" t="s">
        <v>31</v>
      </c>
      <c r="H44" s="67" t="s">
        <v>202</v>
      </c>
      <c r="I44" s="52">
        <v>1401</v>
      </c>
      <c r="J44" s="52">
        <v>1475</v>
      </c>
      <c r="K44" s="52">
        <v>1480</v>
      </c>
      <c r="L44" s="52">
        <v>1525</v>
      </c>
      <c r="M44" s="52">
        <v>1525</v>
      </c>
      <c r="N44" s="52">
        <v>1626</v>
      </c>
      <c r="O44" s="52">
        <v>1630</v>
      </c>
      <c r="P44" s="52">
        <v>1646</v>
      </c>
      <c r="Q44" s="52">
        <v>1616</v>
      </c>
      <c r="R44" s="52">
        <v>1578</v>
      </c>
      <c r="S44" s="52">
        <v>1582</v>
      </c>
      <c r="T44" s="52">
        <v>1590</v>
      </c>
      <c r="U44" s="52">
        <v>1548</v>
      </c>
      <c r="V44" s="52">
        <v>1530</v>
      </c>
      <c r="W44" s="52">
        <v>1530</v>
      </c>
      <c r="X44" s="52">
        <v>1530</v>
      </c>
      <c r="Y44" s="52">
        <v>1543</v>
      </c>
      <c r="Z44" s="52">
        <v>1620</v>
      </c>
      <c r="AA44" s="52">
        <v>1714</v>
      </c>
      <c r="AB44" s="52">
        <v>1690</v>
      </c>
      <c r="AC44" s="52">
        <v>1533</v>
      </c>
      <c r="AD44" s="52">
        <v>1210</v>
      </c>
      <c r="AE44" s="52">
        <v>661</v>
      </c>
      <c r="AF44" s="52">
        <v>560</v>
      </c>
      <c r="AG44" s="52">
        <v>495</v>
      </c>
      <c r="AH44" s="52">
        <v>574</v>
      </c>
      <c r="AI44" s="52">
        <v>622</v>
      </c>
      <c r="AJ44" s="52">
        <v>785</v>
      </c>
      <c r="AK44" s="52">
        <v>849</v>
      </c>
      <c r="AL44" s="52">
        <v>818</v>
      </c>
      <c r="AM44" s="52">
        <v>910</v>
      </c>
      <c r="AN44" s="52">
        <v>1025</v>
      </c>
      <c r="AO44" s="52">
        <v>1020</v>
      </c>
      <c r="AP44" s="52">
        <v>955</v>
      </c>
      <c r="AQ44" s="52">
        <v>1008</v>
      </c>
      <c r="AR44" s="52">
        <v>1190</v>
      </c>
      <c r="AS44" s="52">
        <v>1388</v>
      </c>
      <c r="AT44" s="52"/>
      <c r="AU44" s="52"/>
      <c r="AV44" s="52"/>
      <c r="AW44" s="52"/>
      <c r="AX44" s="52"/>
      <c r="AY44" s="52"/>
      <c r="AZ44" s="52"/>
      <c r="BA44" s="38"/>
      <c r="BB44" s="38"/>
      <c r="BC44" s="38"/>
      <c r="BD44" s="38"/>
    </row>
    <row r="45" spans="1:56" ht="18.75" customHeight="1">
      <c r="A45" s="37" t="s">
        <v>500</v>
      </c>
      <c r="B45" s="37" t="s">
        <v>499</v>
      </c>
      <c r="C45" s="165" t="s">
        <v>566</v>
      </c>
      <c r="D45" s="157" t="s">
        <v>560</v>
      </c>
      <c r="E45" s="63" t="s">
        <v>64</v>
      </c>
      <c r="F45" s="37" t="s">
        <v>501</v>
      </c>
      <c r="G45" s="37" t="s">
        <v>502</v>
      </c>
      <c r="H45" s="67" t="s">
        <v>503</v>
      </c>
      <c r="I45" s="52"/>
      <c r="J45" s="52"/>
      <c r="K45" s="52"/>
      <c r="L45" s="52"/>
      <c r="M45" s="52"/>
      <c r="N45" s="52"/>
      <c r="O45" s="52"/>
      <c r="P45" s="52"/>
      <c r="Q45" s="52"/>
      <c r="R45" s="52"/>
      <c r="S45" s="52"/>
      <c r="T45" s="52"/>
      <c r="U45" s="52"/>
      <c r="V45" s="52"/>
      <c r="W45" s="52"/>
      <c r="X45" s="52"/>
      <c r="Y45" s="52"/>
      <c r="Z45" s="52"/>
      <c r="AA45" s="52"/>
      <c r="AB45" s="52"/>
      <c r="AC45" s="52"/>
      <c r="AD45" s="52"/>
      <c r="AE45" s="52"/>
      <c r="AF45" s="52"/>
      <c r="AG45" s="52"/>
      <c r="AH45" s="52"/>
      <c r="AI45" s="52"/>
      <c r="AJ45" s="52"/>
      <c r="AK45" s="52"/>
      <c r="AL45" s="52"/>
      <c r="AM45" s="52"/>
      <c r="AN45" s="52">
        <f>(((7800+6500+6300)/3)+((7800+6500+6300)/3)+((7800+6500+6300)/3))/3</f>
        <v>6866.666666666667</v>
      </c>
      <c r="AO45" s="52">
        <f>(((7200+5800+5600)/3)+((7200+5800+5600)/3)+((7200+5800+5600)/3)+((7200+5800+5600)/3))/4</f>
        <v>6200</v>
      </c>
      <c r="AP45" s="52">
        <v>6200</v>
      </c>
      <c r="AQ45" s="52">
        <v>6753</v>
      </c>
      <c r="AR45" s="52">
        <v>6500</v>
      </c>
      <c r="AS45" s="52">
        <v>7533.33</v>
      </c>
      <c r="AT45" s="52"/>
      <c r="AU45" s="52"/>
      <c r="AV45" s="52"/>
      <c r="AW45" s="52"/>
      <c r="AX45" s="52"/>
      <c r="AY45" s="52"/>
      <c r="AZ45" s="52"/>
      <c r="BA45" s="38"/>
      <c r="BB45" s="38"/>
      <c r="BC45" s="38"/>
      <c r="BD45" s="38"/>
    </row>
    <row r="46" spans="1:56" ht="18.75" customHeight="1">
      <c r="A46" s="37" t="s">
        <v>198</v>
      </c>
      <c r="B46" s="37" t="s">
        <v>60</v>
      </c>
      <c r="C46" s="156" t="s">
        <v>565</v>
      </c>
      <c r="D46" s="37" t="s">
        <v>26</v>
      </c>
      <c r="E46" s="63" t="s">
        <v>64</v>
      </c>
      <c r="F46" s="37" t="s">
        <v>29</v>
      </c>
      <c r="G46" s="37" t="s">
        <v>31</v>
      </c>
      <c r="H46" s="67" t="s">
        <v>199</v>
      </c>
      <c r="I46" s="52"/>
      <c r="J46" s="52"/>
      <c r="K46" s="52"/>
      <c r="L46" s="52">
        <v>1795</v>
      </c>
      <c r="M46" s="52">
        <v>1795</v>
      </c>
      <c r="N46" s="52">
        <v>1795</v>
      </c>
      <c r="O46" s="52">
        <v>1795</v>
      </c>
      <c r="P46" s="52">
        <v>1795</v>
      </c>
      <c r="Q46" s="52">
        <v>1795</v>
      </c>
      <c r="R46" s="52">
        <v>1795</v>
      </c>
      <c r="S46" s="52">
        <v>1795</v>
      </c>
      <c r="T46" s="52">
        <v>1795</v>
      </c>
      <c r="U46" s="52">
        <v>1795</v>
      </c>
      <c r="V46" s="52">
        <v>1795</v>
      </c>
      <c r="W46" s="52">
        <v>1825</v>
      </c>
      <c r="X46" s="52">
        <v>1900</v>
      </c>
      <c r="Y46" s="52">
        <v>1900</v>
      </c>
      <c r="Z46" s="52">
        <v>1900</v>
      </c>
      <c r="AA46" s="52">
        <v>2000</v>
      </c>
      <c r="AB46" s="52">
        <v>2000</v>
      </c>
      <c r="AC46" s="52">
        <v>2000</v>
      </c>
      <c r="AD46" s="52">
        <v>2000</v>
      </c>
      <c r="AE46" s="52">
        <v>2000</v>
      </c>
      <c r="AF46" s="52">
        <v>1900</v>
      </c>
      <c r="AG46" s="52">
        <v>1900</v>
      </c>
      <c r="AH46" s="52">
        <v>1900</v>
      </c>
      <c r="AI46" s="52">
        <v>1675</v>
      </c>
      <c r="AJ46" s="52">
        <v>1675</v>
      </c>
      <c r="AK46" s="52">
        <v>1630</v>
      </c>
      <c r="AL46" s="52">
        <v>1630</v>
      </c>
      <c r="AM46" s="52">
        <v>1630</v>
      </c>
      <c r="AN46" s="52">
        <v>1630</v>
      </c>
      <c r="AO46" s="52">
        <v>1630</v>
      </c>
      <c r="AP46" s="52">
        <v>1630</v>
      </c>
      <c r="AQ46" s="52">
        <v>1630</v>
      </c>
      <c r="AR46" s="52">
        <v>1630</v>
      </c>
      <c r="AS46" s="4"/>
      <c r="AT46" s="4"/>
      <c r="AU46" s="4"/>
      <c r="AV46" s="4"/>
      <c r="AW46" s="4"/>
      <c r="AX46" s="4"/>
      <c r="AY46" s="4"/>
      <c r="AZ46" s="4"/>
      <c r="BA46" s="4"/>
      <c r="BB46" s="4"/>
      <c r="BC46" s="4"/>
      <c r="BD46" s="4"/>
    </row>
    <row r="47" spans="1:56" ht="18.75" customHeight="1">
      <c r="A47" s="37" t="s">
        <v>16</v>
      </c>
      <c r="B47" s="37" t="s">
        <v>60</v>
      </c>
      <c r="C47" s="156" t="s">
        <v>565</v>
      </c>
      <c r="D47" s="37" t="s">
        <v>26</v>
      </c>
      <c r="E47" s="63" t="s">
        <v>64</v>
      </c>
      <c r="F47" s="37" t="s">
        <v>29</v>
      </c>
      <c r="G47" s="37" t="s">
        <v>31</v>
      </c>
      <c r="H47" s="67" t="s">
        <v>181</v>
      </c>
      <c r="I47" s="52">
        <v>1500</v>
      </c>
      <c r="J47" s="52">
        <v>1500</v>
      </c>
      <c r="K47" s="52">
        <v>1500</v>
      </c>
      <c r="L47" s="52">
        <v>1500</v>
      </c>
      <c r="M47" s="52">
        <v>1500</v>
      </c>
      <c r="N47" s="52">
        <v>1500</v>
      </c>
      <c r="O47" s="52">
        <v>1500</v>
      </c>
      <c r="P47" s="52">
        <v>1500</v>
      </c>
      <c r="Q47" s="52">
        <v>1500</v>
      </c>
      <c r="R47" s="52">
        <v>1500</v>
      </c>
      <c r="S47" s="52">
        <v>1500</v>
      </c>
      <c r="T47" s="52">
        <v>1500</v>
      </c>
      <c r="U47" s="52">
        <v>1500</v>
      </c>
      <c r="V47" s="52">
        <v>1540</v>
      </c>
      <c r="W47" s="52">
        <v>1580</v>
      </c>
      <c r="X47" s="52">
        <v>1600</v>
      </c>
      <c r="Y47" s="52">
        <v>1700</v>
      </c>
      <c r="Z47" s="52">
        <v>1875</v>
      </c>
      <c r="AA47" s="52">
        <v>2350</v>
      </c>
      <c r="AB47" s="52">
        <v>2350</v>
      </c>
      <c r="AC47" s="52">
        <v>2225</v>
      </c>
      <c r="AD47" s="52">
        <v>2225</v>
      </c>
      <c r="AE47" s="52">
        <v>1515</v>
      </c>
      <c r="AF47" s="52">
        <v>1530</v>
      </c>
      <c r="AG47" s="52">
        <v>1375</v>
      </c>
      <c r="AH47" s="52">
        <v>1375</v>
      </c>
      <c r="AI47" s="52">
        <v>1225</v>
      </c>
      <c r="AJ47" s="52">
        <v>1440</v>
      </c>
      <c r="AK47" s="52">
        <v>1440</v>
      </c>
      <c r="AL47" s="52">
        <v>1440</v>
      </c>
      <c r="AM47" s="52">
        <v>1440</v>
      </c>
      <c r="AN47" s="52">
        <v>1440</v>
      </c>
      <c r="AO47" s="52">
        <v>1525</v>
      </c>
      <c r="AP47" s="52">
        <v>1475</v>
      </c>
      <c r="AQ47" s="52">
        <v>1475</v>
      </c>
      <c r="AR47" s="52">
        <v>1565</v>
      </c>
      <c r="AS47" s="52"/>
      <c r="AT47" s="52"/>
      <c r="AU47" s="52"/>
      <c r="AV47" s="52"/>
      <c r="AW47" s="52"/>
      <c r="AX47" s="52"/>
      <c r="AY47" s="52"/>
      <c r="AZ47" s="52"/>
      <c r="BA47" s="38"/>
      <c r="BB47" s="38"/>
      <c r="BC47" s="38"/>
      <c r="BD47" s="38"/>
    </row>
    <row r="48" spans="1:56" ht="18.75" customHeight="1">
      <c r="A48" s="47" t="s">
        <v>18</v>
      </c>
      <c r="B48" s="47" t="s">
        <v>84</v>
      </c>
      <c r="C48" s="162" t="s">
        <v>543</v>
      </c>
      <c r="D48" s="69" t="s">
        <v>100</v>
      </c>
      <c r="E48" s="70" t="s">
        <v>63</v>
      </c>
      <c r="F48" s="47" t="s">
        <v>30</v>
      </c>
      <c r="G48" s="47" t="s">
        <v>37</v>
      </c>
      <c r="H48" s="71" t="s">
        <v>152</v>
      </c>
      <c r="I48" s="49">
        <v>392.5</v>
      </c>
      <c r="J48" s="49">
        <v>402.5</v>
      </c>
      <c r="K48" s="49">
        <v>422.5</v>
      </c>
      <c r="L48" s="49">
        <v>427.5</v>
      </c>
      <c r="M48" s="49">
        <v>442.5</v>
      </c>
      <c r="N48" s="49">
        <v>457.5</v>
      </c>
      <c r="O48" s="49">
        <v>457.5</v>
      </c>
      <c r="P48" s="49">
        <v>457.5</v>
      </c>
      <c r="Q48" s="49">
        <v>457.5</v>
      </c>
      <c r="R48" s="49">
        <v>480</v>
      </c>
      <c r="S48" s="49">
        <v>482.5</v>
      </c>
      <c r="T48" s="49">
        <v>475</v>
      </c>
      <c r="U48" s="49">
        <v>462.5</v>
      </c>
      <c r="V48" s="49">
        <v>452.5</v>
      </c>
      <c r="W48" s="49">
        <v>450</v>
      </c>
      <c r="X48" s="49">
        <v>450</v>
      </c>
      <c r="Y48" s="49">
        <v>425</v>
      </c>
      <c r="Z48" s="49">
        <v>395</v>
      </c>
      <c r="AA48" s="49">
        <v>377.5</v>
      </c>
      <c r="AB48" s="49">
        <v>377.5</v>
      </c>
      <c r="AC48" s="49">
        <v>377.5</v>
      </c>
      <c r="AD48" s="49">
        <v>377.5</v>
      </c>
      <c r="AE48" s="49">
        <v>367.5</v>
      </c>
      <c r="AF48" s="49">
        <v>330</v>
      </c>
      <c r="AG48" s="49">
        <v>302.5</v>
      </c>
      <c r="AH48" s="49">
        <v>242.5</v>
      </c>
      <c r="AI48" s="49">
        <v>242.5</v>
      </c>
      <c r="AJ48" s="49">
        <v>242.5</v>
      </c>
      <c r="AK48" s="49">
        <v>242.5</v>
      </c>
      <c r="AL48" s="49">
        <v>242.5</v>
      </c>
      <c r="AM48" s="49">
        <v>242.5</v>
      </c>
      <c r="AN48" s="49">
        <v>242.5</v>
      </c>
      <c r="AO48" s="49">
        <v>290</v>
      </c>
      <c r="AP48" s="49">
        <v>320</v>
      </c>
      <c r="AQ48" s="49">
        <v>325</v>
      </c>
      <c r="AR48" s="49">
        <v>330</v>
      </c>
      <c r="AS48" s="49"/>
      <c r="AT48" s="49"/>
      <c r="AU48" s="49"/>
      <c r="AV48" s="49"/>
      <c r="AW48" s="49"/>
      <c r="AX48" s="49"/>
      <c r="AY48" s="49"/>
      <c r="AZ48" s="49"/>
      <c r="BA48" s="48"/>
      <c r="BB48" s="48"/>
      <c r="BC48" s="48"/>
      <c r="BD48" s="48"/>
    </row>
    <row r="49" spans="1:56" ht="19.5" customHeight="1">
      <c r="A49" s="72" t="s">
        <v>82</v>
      </c>
      <c r="B49" s="47" t="s">
        <v>84</v>
      </c>
      <c r="C49" s="162" t="s">
        <v>543</v>
      </c>
      <c r="D49" s="69" t="s">
        <v>101</v>
      </c>
      <c r="E49" s="70" t="s">
        <v>63</v>
      </c>
      <c r="F49" s="47" t="s">
        <v>30</v>
      </c>
      <c r="G49" s="47" t="s">
        <v>37</v>
      </c>
      <c r="H49" s="71" t="s">
        <v>153</v>
      </c>
      <c r="I49" s="49">
        <v>735</v>
      </c>
      <c r="J49" s="49">
        <v>742.5</v>
      </c>
      <c r="K49" s="49">
        <v>742.5</v>
      </c>
      <c r="L49" s="49">
        <v>770</v>
      </c>
      <c r="M49" s="49">
        <v>770</v>
      </c>
      <c r="N49" s="49">
        <v>770</v>
      </c>
      <c r="O49" s="49">
        <v>770</v>
      </c>
      <c r="P49" s="49">
        <v>770</v>
      </c>
      <c r="Q49" s="49">
        <v>770</v>
      </c>
      <c r="R49" s="49">
        <v>782.5</v>
      </c>
      <c r="S49" s="49">
        <v>782.5</v>
      </c>
      <c r="T49" s="49">
        <v>777.5</v>
      </c>
      <c r="U49" s="49">
        <v>777.5</v>
      </c>
      <c r="V49" s="49">
        <v>777.5</v>
      </c>
      <c r="W49" s="49">
        <v>777.5</v>
      </c>
      <c r="X49" s="49">
        <v>777.5</v>
      </c>
      <c r="Y49" s="49">
        <v>777.5</v>
      </c>
      <c r="Z49" s="49">
        <v>777.5</v>
      </c>
      <c r="AA49" s="49">
        <v>777.5</v>
      </c>
      <c r="AB49" s="49">
        <v>777.5</v>
      </c>
      <c r="AC49" s="49">
        <v>777.5</v>
      </c>
      <c r="AD49" s="49">
        <v>777.5</v>
      </c>
      <c r="AE49" s="49">
        <v>777.5</v>
      </c>
      <c r="AF49" s="49">
        <v>777.5</v>
      </c>
      <c r="AG49" s="49">
        <v>772.5</v>
      </c>
      <c r="AH49" s="49">
        <v>765</v>
      </c>
      <c r="AI49" s="49">
        <v>740</v>
      </c>
      <c r="AJ49" s="49">
        <v>730</v>
      </c>
      <c r="AK49" s="49">
        <v>725</v>
      </c>
      <c r="AL49" s="49">
        <v>705</v>
      </c>
      <c r="AM49" s="49">
        <v>685</v>
      </c>
      <c r="AN49" s="49">
        <v>685</v>
      </c>
      <c r="AO49" s="49">
        <v>685</v>
      </c>
      <c r="AP49" s="49">
        <v>685</v>
      </c>
      <c r="AQ49" s="49">
        <v>685</v>
      </c>
      <c r="AR49" s="49">
        <v>685</v>
      </c>
      <c r="AS49" s="49"/>
      <c r="AT49" s="49"/>
      <c r="AU49" s="49"/>
      <c r="AV49" s="49"/>
      <c r="AW49" s="49"/>
      <c r="AX49" s="49"/>
      <c r="AY49" s="49"/>
      <c r="AZ49" s="49"/>
      <c r="BA49" s="48"/>
      <c r="BB49" s="48"/>
      <c r="BC49" s="48"/>
      <c r="BD49" s="48"/>
    </row>
    <row r="50" spans="1:56" ht="18.75" customHeight="1">
      <c r="A50" s="72" t="s">
        <v>19</v>
      </c>
      <c r="B50" s="47" t="s">
        <v>84</v>
      </c>
      <c r="C50" s="162" t="s">
        <v>543</v>
      </c>
      <c r="D50" s="69" t="s">
        <v>102</v>
      </c>
      <c r="E50" s="70" t="s">
        <v>63</v>
      </c>
      <c r="F50" s="47" t="s">
        <v>30</v>
      </c>
      <c r="G50" s="47" t="s">
        <v>37</v>
      </c>
      <c r="H50" s="71" t="s">
        <v>48</v>
      </c>
      <c r="I50" s="49">
        <v>695</v>
      </c>
      <c r="J50" s="49">
        <v>700</v>
      </c>
      <c r="K50" s="49">
        <v>700</v>
      </c>
      <c r="L50" s="49">
        <v>700</v>
      </c>
      <c r="M50" s="49">
        <v>700</v>
      </c>
      <c r="N50" s="49">
        <v>700</v>
      </c>
      <c r="O50" s="49">
        <v>745</v>
      </c>
      <c r="P50" s="49">
        <v>745</v>
      </c>
      <c r="Q50" s="49">
        <v>745</v>
      </c>
      <c r="R50" s="49">
        <v>745</v>
      </c>
      <c r="S50" s="49">
        <v>745</v>
      </c>
      <c r="T50" s="49">
        <v>745</v>
      </c>
      <c r="U50" s="49">
        <v>745</v>
      </c>
      <c r="V50" s="49">
        <v>745</v>
      </c>
      <c r="W50" s="49">
        <v>745</v>
      </c>
      <c r="X50" s="49">
        <v>745</v>
      </c>
      <c r="Y50" s="49">
        <v>745</v>
      </c>
      <c r="Z50" s="49">
        <v>745</v>
      </c>
      <c r="AA50" s="49">
        <v>745</v>
      </c>
      <c r="AB50" s="49">
        <v>670</v>
      </c>
      <c r="AC50" s="49">
        <v>670</v>
      </c>
      <c r="AD50" s="49">
        <v>690</v>
      </c>
      <c r="AE50" s="49">
        <v>690</v>
      </c>
      <c r="AF50" s="49">
        <v>690</v>
      </c>
      <c r="AG50" s="49">
        <v>670</v>
      </c>
      <c r="AH50" s="49">
        <v>670</v>
      </c>
      <c r="AI50" s="49">
        <v>660</v>
      </c>
      <c r="AJ50" s="49">
        <v>650</v>
      </c>
      <c r="AK50" s="49">
        <v>640</v>
      </c>
      <c r="AL50" s="49">
        <v>625</v>
      </c>
      <c r="AM50" s="49">
        <v>615</v>
      </c>
      <c r="AN50" s="49">
        <v>615</v>
      </c>
      <c r="AO50" s="49">
        <v>605</v>
      </c>
      <c r="AP50" s="49">
        <v>605</v>
      </c>
      <c r="AQ50" s="49">
        <v>605</v>
      </c>
      <c r="AR50" s="49">
        <v>605</v>
      </c>
      <c r="AS50" s="49"/>
      <c r="AT50" s="49"/>
      <c r="AU50" s="49"/>
      <c r="AV50" s="49"/>
      <c r="AW50" s="49"/>
      <c r="AX50" s="49"/>
      <c r="AY50" s="49"/>
      <c r="AZ50" s="49"/>
      <c r="BA50" s="48"/>
      <c r="BB50" s="48"/>
      <c r="BC50" s="48"/>
      <c r="BD50" s="48"/>
    </row>
    <row r="51" spans="1:56" ht="18.75" customHeight="1">
      <c r="A51" s="33" t="s">
        <v>133</v>
      </c>
      <c r="B51" s="35" t="s">
        <v>56</v>
      </c>
      <c r="C51" s="163" t="s">
        <v>544</v>
      </c>
      <c r="D51" s="35" t="s">
        <v>226</v>
      </c>
      <c r="E51" s="64" t="s">
        <v>150</v>
      </c>
      <c r="F51" s="34" t="s">
        <v>86</v>
      </c>
      <c r="G51" s="33" t="s">
        <v>87</v>
      </c>
      <c r="H51" s="68" t="s">
        <v>182</v>
      </c>
      <c r="I51" s="35">
        <v>2917.5</v>
      </c>
      <c r="J51" s="35">
        <v>2950.5</v>
      </c>
      <c r="K51" s="35">
        <v>3189</v>
      </c>
      <c r="L51" s="35">
        <v>3372</v>
      </c>
      <c r="M51" s="35">
        <v>3325</v>
      </c>
      <c r="N51" s="35">
        <v>3384.5</v>
      </c>
      <c r="O51" s="35">
        <v>3457.5</v>
      </c>
      <c r="P51" s="35">
        <v>3479</v>
      </c>
      <c r="Q51" s="35">
        <v>3510.5</v>
      </c>
      <c r="R51" s="35">
        <v>3667</v>
      </c>
      <c r="S51" s="35">
        <v>3969</v>
      </c>
      <c r="T51" s="35">
        <v>3844</v>
      </c>
      <c r="U51" s="35">
        <v>4013.5</v>
      </c>
      <c r="V51" s="35">
        <v>4187</v>
      </c>
      <c r="W51" s="35">
        <v>4360</v>
      </c>
      <c r="X51" s="35">
        <v>4449.5</v>
      </c>
      <c r="Y51" s="35">
        <v>4722</v>
      </c>
      <c r="Z51" s="35">
        <v>5134</v>
      </c>
      <c r="AA51" s="35">
        <v>5381.5</v>
      </c>
      <c r="AB51" s="35">
        <v>4866</v>
      </c>
      <c r="AC51" s="35">
        <v>4370.5</v>
      </c>
      <c r="AD51" s="35">
        <v>3422.5</v>
      </c>
      <c r="AE51" s="55">
        <v>2410.5</v>
      </c>
      <c r="AF51" s="55">
        <v>2566</v>
      </c>
      <c r="AG51" s="55">
        <v>3012</v>
      </c>
      <c r="AH51" s="55">
        <v>3105</v>
      </c>
      <c r="AI51" s="55">
        <v>3197.5</v>
      </c>
      <c r="AJ51" s="55">
        <v>3555</v>
      </c>
      <c r="AK51" s="55">
        <v>3682.5</v>
      </c>
      <c r="AL51" s="55">
        <v>3919</v>
      </c>
      <c r="AM51" s="55">
        <v>3908</v>
      </c>
      <c r="AN51" s="55">
        <v>4119</v>
      </c>
      <c r="AO51" s="55">
        <v>4102.5</v>
      </c>
      <c r="AP51" s="55">
        <v>4211.5</v>
      </c>
      <c r="AQ51" s="55">
        <v>4400</v>
      </c>
      <c r="AR51" s="55">
        <v>4470.5</v>
      </c>
      <c r="AS51" s="54">
        <v>4727.5</v>
      </c>
      <c r="AT51" s="54"/>
      <c r="AU51" s="54"/>
      <c r="AV51" s="54"/>
      <c r="AW51" s="54"/>
      <c r="AX51" s="54"/>
      <c r="AY51" s="54"/>
      <c r="AZ51" s="54"/>
      <c r="BA51" s="54"/>
      <c r="BB51" s="54"/>
      <c r="BC51" s="54"/>
      <c r="BD51" s="54"/>
    </row>
    <row r="52" spans="1:56" ht="18.75" customHeight="1">
      <c r="A52" s="35" t="s">
        <v>3</v>
      </c>
      <c r="B52" s="35" t="s">
        <v>83</v>
      </c>
      <c r="C52" s="163" t="s">
        <v>574</v>
      </c>
      <c r="D52" s="35" t="s">
        <v>532</v>
      </c>
      <c r="E52" s="64" t="s">
        <v>150</v>
      </c>
      <c r="F52" s="35" t="s">
        <v>28</v>
      </c>
      <c r="G52" s="35" t="s">
        <v>31</v>
      </c>
      <c r="H52" s="68" t="s">
        <v>183</v>
      </c>
      <c r="I52" s="55">
        <v>36811.13636363636</v>
      </c>
      <c r="J52" s="55">
        <v>41184.25</v>
      </c>
      <c r="K52" s="55">
        <v>46324.772727272728</v>
      </c>
      <c r="L52" s="55">
        <v>50266.84210526316</v>
      </c>
      <c r="M52" s="55">
        <v>52179.047619047618</v>
      </c>
      <c r="N52" s="55">
        <v>41718.571428571428</v>
      </c>
      <c r="O52" s="55">
        <v>33425.681818181816</v>
      </c>
      <c r="P52" s="55">
        <v>27652.272727272728</v>
      </c>
      <c r="Q52" s="55">
        <v>29537.5</v>
      </c>
      <c r="R52" s="55">
        <v>31055.434782608696</v>
      </c>
      <c r="S52" s="55">
        <v>30610.227272727272</v>
      </c>
      <c r="T52" s="55">
        <v>25991.944444444445</v>
      </c>
      <c r="U52" s="55">
        <v>27689.545454545456</v>
      </c>
      <c r="V52" s="55">
        <v>27955.476190476191</v>
      </c>
      <c r="W52" s="55">
        <v>31225.263157894737</v>
      </c>
      <c r="X52" s="55">
        <v>28763.18181818182</v>
      </c>
      <c r="Y52" s="55">
        <v>25735</v>
      </c>
      <c r="Z52" s="55">
        <v>22549.047619047618</v>
      </c>
      <c r="AA52" s="55">
        <v>20160.217391304348</v>
      </c>
      <c r="AB52" s="55">
        <v>18927.75</v>
      </c>
      <c r="AC52" s="55">
        <v>17794.545454545456</v>
      </c>
      <c r="AD52" s="55">
        <v>12139.782608695652</v>
      </c>
      <c r="AE52" s="55">
        <v>10701.5</v>
      </c>
      <c r="AF52" s="55">
        <v>9686.4285714285706</v>
      </c>
      <c r="AG52" s="55">
        <v>11306.904761904761</v>
      </c>
      <c r="AH52" s="55">
        <v>10408.75</v>
      </c>
      <c r="AI52" s="55">
        <v>9723</v>
      </c>
      <c r="AJ52" s="55">
        <v>11148.16</v>
      </c>
      <c r="AK52" s="55">
        <v>12571.61</v>
      </c>
      <c r="AL52" s="55">
        <v>14960.45</v>
      </c>
      <c r="AM52" s="55">
        <v>15778.95</v>
      </c>
      <c r="AN52" s="55">
        <v>19641.75</v>
      </c>
      <c r="AO52" s="55">
        <v>17473.18</v>
      </c>
      <c r="AP52" s="55">
        <v>18528.099999999999</v>
      </c>
      <c r="AQ52" s="55">
        <v>16991.189999999999</v>
      </c>
      <c r="AR52" s="55">
        <v>16448.21</v>
      </c>
      <c r="AS52" s="55">
        <v>18423.95</v>
      </c>
      <c r="AT52" s="55"/>
      <c r="AU52" s="55"/>
      <c r="AV52" s="55"/>
      <c r="AW52" s="55"/>
      <c r="AX52" s="55"/>
      <c r="AY52" s="55"/>
      <c r="AZ52" s="55"/>
      <c r="BA52" s="36"/>
      <c r="BB52" s="36"/>
      <c r="BC52" s="36"/>
      <c r="BD52" s="36"/>
    </row>
    <row r="53" spans="1:56" ht="18.75" customHeight="1">
      <c r="A53" s="35" t="s">
        <v>215</v>
      </c>
      <c r="B53" s="35" t="s">
        <v>83</v>
      </c>
      <c r="C53" s="163" t="s">
        <v>574</v>
      </c>
      <c r="D53" s="35" t="s">
        <v>533</v>
      </c>
      <c r="E53" s="64" t="s">
        <v>216</v>
      </c>
      <c r="F53" s="35" t="s">
        <v>217</v>
      </c>
      <c r="G53" s="35" t="s">
        <v>218</v>
      </c>
      <c r="H53" s="68" t="s">
        <v>219</v>
      </c>
      <c r="I53" s="55">
        <v>12.84</v>
      </c>
      <c r="J53" s="55">
        <v>13.91</v>
      </c>
      <c r="K53" s="55">
        <v>13.18</v>
      </c>
      <c r="L53" s="55">
        <v>13.74</v>
      </c>
      <c r="M53" s="55">
        <v>13.15</v>
      </c>
      <c r="N53" s="55">
        <v>13.14</v>
      </c>
      <c r="O53" s="55">
        <v>12.91</v>
      </c>
      <c r="P53" s="55">
        <v>12.36</v>
      </c>
      <c r="Q53" s="55">
        <v>12.83</v>
      </c>
      <c r="R53" s="55">
        <v>13.67</v>
      </c>
      <c r="S53" s="55">
        <v>14.7</v>
      </c>
      <c r="T53" s="55">
        <v>14.3</v>
      </c>
      <c r="U53" s="55">
        <v>15.96</v>
      </c>
      <c r="V53" s="55">
        <v>17.57</v>
      </c>
      <c r="W53" s="55">
        <v>19.510000000000002</v>
      </c>
      <c r="X53" s="55">
        <v>17.5</v>
      </c>
      <c r="Y53" s="55">
        <v>17.010000000000002</v>
      </c>
      <c r="Z53" s="55">
        <v>16.97</v>
      </c>
      <c r="AA53" s="55">
        <v>18.03</v>
      </c>
      <c r="AB53" s="55">
        <v>14.64</v>
      </c>
      <c r="AC53" s="55">
        <v>12.37</v>
      </c>
      <c r="AD53" s="55">
        <v>10.44</v>
      </c>
      <c r="AE53" s="55">
        <v>9.8699999999999992</v>
      </c>
      <c r="AF53" s="55">
        <v>10.29</v>
      </c>
      <c r="AG53" s="55">
        <v>11.29</v>
      </c>
      <c r="AH53" s="55">
        <v>13.41</v>
      </c>
      <c r="AI53" s="55">
        <v>13.12</v>
      </c>
      <c r="AJ53" s="55">
        <v>12.51</v>
      </c>
      <c r="AK53" s="55">
        <v>14.03</v>
      </c>
      <c r="AL53" s="55">
        <v>14.65</v>
      </c>
      <c r="AM53" s="55">
        <v>13.3</v>
      </c>
      <c r="AN53" s="55">
        <v>14.35</v>
      </c>
      <c r="AO53" s="55">
        <v>16.39</v>
      </c>
      <c r="AP53" s="55">
        <v>17.27</v>
      </c>
      <c r="AQ53" s="55">
        <v>17.82</v>
      </c>
      <c r="AR53" s="55">
        <v>17.95</v>
      </c>
      <c r="AS53" s="55">
        <v>17.87</v>
      </c>
      <c r="AT53" s="55"/>
      <c r="AU53" s="55"/>
      <c r="AV53" s="55"/>
      <c r="AW53" s="55"/>
      <c r="AX53" s="55"/>
      <c r="AY53" s="55"/>
      <c r="AZ53" s="55"/>
      <c r="BA53" s="55"/>
      <c r="BB53" s="55"/>
      <c r="BC53" s="55"/>
      <c r="BD53" s="55"/>
    </row>
    <row r="54" spans="1:56" ht="18.75" customHeight="1">
      <c r="A54" s="3"/>
      <c r="B54" s="2"/>
      <c r="C54" s="18"/>
      <c r="D54" s="113"/>
      <c r="E54" s="3"/>
      <c r="F54" s="1"/>
      <c r="G54" s="3"/>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5"/>
      <c r="AJ54" s="5"/>
      <c r="AK54" s="5"/>
      <c r="AL54" s="5"/>
      <c r="AM54" s="5"/>
      <c r="AN54" s="5"/>
      <c r="AO54" s="5"/>
      <c r="AP54" s="5"/>
      <c r="AQ54" s="5"/>
      <c r="AR54" s="5"/>
      <c r="AS54" s="5"/>
      <c r="AT54" s="5"/>
      <c r="AU54" s="5"/>
      <c r="AV54" s="5"/>
      <c r="AW54" s="5"/>
      <c r="AX54" s="5"/>
      <c r="AY54" s="5"/>
      <c r="AZ54" s="5"/>
      <c r="BA54" s="5"/>
      <c r="BB54" s="5"/>
      <c r="BC54" s="5"/>
      <c r="BD54" s="5"/>
    </row>
    <row r="55" spans="1:56" ht="18.75" customHeight="1">
      <c r="A55" s="3"/>
      <c r="B55" s="2"/>
      <c r="C55" s="18"/>
      <c r="D55" s="113"/>
      <c r="E55" s="3"/>
      <c r="F55" s="1"/>
      <c r="G55" s="3"/>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5"/>
      <c r="AJ55" s="5"/>
      <c r="AK55" s="5"/>
      <c r="AL55" s="5"/>
      <c r="AM55" s="5"/>
      <c r="AN55" s="5"/>
      <c r="AO55" s="5"/>
      <c r="AP55" s="5"/>
      <c r="AQ55" s="5"/>
      <c r="AR55" s="5"/>
      <c r="AS55" s="5"/>
      <c r="AT55" s="5"/>
      <c r="AU55" s="5"/>
      <c r="AV55" s="5"/>
      <c r="AW55" s="5"/>
      <c r="AX55" s="5"/>
      <c r="AY55" s="5"/>
      <c r="AZ55" s="5"/>
      <c r="BA55" s="5"/>
      <c r="BB55" s="5"/>
      <c r="BC55" s="5"/>
      <c r="BD55" s="5"/>
    </row>
    <row r="56" spans="1:56" ht="18.75" customHeight="1">
      <c r="A56" s="3"/>
      <c r="B56" s="2"/>
      <c r="C56" s="18"/>
      <c r="D56" s="113"/>
      <c r="E56" s="3"/>
      <c r="F56" s="1"/>
      <c r="G56" s="3"/>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5"/>
      <c r="AJ56" s="5"/>
      <c r="AK56" s="5"/>
      <c r="AL56" s="5"/>
      <c r="AM56" s="5"/>
      <c r="AN56" s="5"/>
      <c r="AO56" s="5"/>
      <c r="AP56" s="5"/>
      <c r="AQ56" s="5"/>
      <c r="AR56" s="5"/>
      <c r="AS56" s="5"/>
      <c r="AT56" s="5"/>
      <c r="AU56" s="5"/>
      <c r="AV56" s="5"/>
      <c r="AW56" s="5"/>
      <c r="AX56" s="5"/>
      <c r="AY56" s="5"/>
      <c r="AZ56" s="5"/>
      <c r="BA56" s="5"/>
      <c r="BB56" s="5"/>
      <c r="BC56" s="5"/>
      <c r="BD56" s="5"/>
    </row>
    <row r="57" spans="1:56" ht="18.75" customHeight="1">
      <c r="A57" s="3"/>
      <c r="B57" s="2"/>
      <c r="C57" s="18"/>
      <c r="D57" s="113"/>
      <c r="E57" s="3"/>
      <c r="F57" s="1"/>
      <c r="G57" s="3"/>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5"/>
      <c r="AJ57" s="5"/>
      <c r="AK57" s="5"/>
      <c r="AL57" s="5"/>
      <c r="AM57" s="5"/>
      <c r="AN57" s="5"/>
      <c r="AO57" s="5"/>
      <c r="AP57" s="5"/>
      <c r="AQ57" s="5"/>
      <c r="AR57" s="5"/>
      <c r="AS57" s="5"/>
      <c r="AT57" s="5"/>
      <c r="AU57" s="5"/>
      <c r="AV57" s="5"/>
      <c r="AW57" s="5"/>
      <c r="AX57" s="5"/>
      <c r="AY57" s="5"/>
      <c r="AZ57" s="5"/>
      <c r="BA57" s="5"/>
      <c r="BB57" s="5"/>
      <c r="BC57" s="5"/>
      <c r="BD57" s="5"/>
    </row>
    <row r="58" spans="1:56" ht="18.75" customHeight="1">
      <c r="A58" s="3"/>
      <c r="B58" s="2"/>
      <c r="C58" s="18"/>
      <c r="D58" s="113"/>
      <c r="E58" s="3"/>
      <c r="F58" s="1"/>
      <c r="G58" s="3"/>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5"/>
      <c r="AJ58" s="5"/>
      <c r="AK58" s="5"/>
      <c r="AL58" s="5"/>
      <c r="AM58" s="5"/>
      <c r="AN58" s="5"/>
      <c r="AO58" s="5"/>
      <c r="AP58" s="5"/>
      <c r="AQ58" s="5"/>
      <c r="AR58" s="5"/>
      <c r="AS58" s="5"/>
      <c r="AT58" s="5"/>
      <c r="AU58" s="5"/>
      <c r="AV58" s="5"/>
      <c r="AW58" s="5"/>
      <c r="AX58" s="5"/>
      <c r="AY58" s="5"/>
      <c r="AZ58" s="5"/>
      <c r="BA58" s="5"/>
      <c r="BB58" s="5"/>
      <c r="BC58" s="5"/>
      <c r="BD58" s="5"/>
    </row>
    <row r="59" spans="1:56" ht="18.75" customHeight="1">
      <c r="A59" s="3"/>
      <c r="B59" s="2"/>
      <c r="C59" s="18"/>
      <c r="D59" s="113"/>
      <c r="E59" s="3"/>
      <c r="F59" s="1"/>
      <c r="G59" s="3"/>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5"/>
      <c r="AJ59" s="5"/>
      <c r="AK59" s="5"/>
      <c r="AL59" s="5"/>
      <c r="AM59" s="5"/>
      <c r="AN59" s="5"/>
      <c r="AO59" s="5"/>
      <c r="AP59" s="5"/>
      <c r="AQ59" s="5"/>
      <c r="AR59" s="5"/>
      <c r="AS59" s="5"/>
      <c r="AT59" s="5"/>
      <c r="AU59" s="5"/>
      <c r="AV59" s="5"/>
      <c r="AW59" s="5"/>
      <c r="AX59" s="5"/>
      <c r="AY59" s="5"/>
      <c r="AZ59" s="5"/>
      <c r="BA59" s="5"/>
      <c r="BB59" s="5"/>
      <c r="BC59" s="5"/>
      <c r="BD59" s="5"/>
    </row>
    <row r="60" spans="1:56" ht="18.75" customHeight="1">
      <c r="A60" s="3"/>
      <c r="B60" s="2"/>
      <c r="C60" s="18"/>
      <c r="D60" s="113"/>
      <c r="E60" s="3"/>
      <c r="F60" s="1"/>
      <c r="G60" s="3"/>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5"/>
      <c r="AJ60" s="5"/>
      <c r="AK60" s="5"/>
      <c r="AL60" s="5"/>
      <c r="AM60" s="5"/>
      <c r="AN60" s="5"/>
      <c r="AO60" s="5"/>
      <c r="AP60" s="5"/>
      <c r="AQ60" s="5"/>
      <c r="AR60" s="5"/>
      <c r="AS60" s="5"/>
      <c r="AT60" s="5"/>
      <c r="AU60" s="5"/>
      <c r="AV60" s="5"/>
      <c r="AW60" s="5"/>
      <c r="AX60" s="5"/>
      <c r="AY60" s="5"/>
      <c r="AZ60" s="5"/>
      <c r="BA60" s="5"/>
      <c r="BB60" s="5"/>
      <c r="BC60" s="5"/>
      <c r="BD60" s="5"/>
    </row>
    <row r="61" spans="1:56" ht="18.75" customHeight="1">
      <c r="A61" s="3"/>
      <c r="B61" s="2"/>
      <c r="C61" s="18"/>
      <c r="D61" s="113"/>
      <c r="E61" s="3"/>
      <c r="F61" s="1"/>
      <c r="G61" s="3"/>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5"/>
      <c r="AJ61" s="5"/>
      <c r="AK61" s="5"/>
      <c r="AL61" s="5"/>
      <c r="AM61" s="5"/>
      <c r="AN61" s="5"/>
      <c r="AO61" s="5"/>
      <c r="AP61" s="5"/>
      <c r="AQ61" s="5"/>
      <c r="AR61" s="5"/>
      <c r="AS61" s="5"/>
      <c r="AT61" s="5"/>
      <c r="AU61" s="5"/>
      <c r="AV61" s="5"/>
      <c r="AW61" s="5"/>
      <c r="AX61" s="5"/>
      <c r="AY61" s="5"/>
      <c r="AZ61" s="5"/>
      <c r="BA61" s="5"/>
      <c r="BB61" s="5"/>
      <c r="BC61" s="5"/>
      <c r="BD61" s="5"/>
    </row>
    <row r="62" spans="1:56" ht="18.75" customHeight="1">
      <c r="A62" s="23"/>
      <c r="B62" s="6"/>
      <c r="C62" s="24"/>
      <c r="E62" s="23"/>
      <c r="F62" s="25"/>
      <c r="G62" s="23"/>
      <c r="H62" s="6"/>
      <c r="I62" s="6"/>
      <c r="J62" s="6"/>
      <c r="K62" s="6"/>
      <c r="L62" s="6"/>
      <c r="M62" s="6"/>
      <c r="N62" s="6"/>
      <c r="O62" s="6"/>
      <c r="P62" s="6"/>
      <c r="Q62" s="6"/>
      <c r="R62" s="6"/>
      <c r="S62" s="6"/>
      <c r="T62" s="6"/>
      <c r="U62" s="6"/>
      <c r="V62" s="6"/>
      <c r="W62" s="6"/>
      <c r="X62" s="6"/>
      <c r="Y62" s="6"/>
      <c r="Z62" s="6"/>
      <c r="AA62" s="6"/>
      <c r="AB62" s="6"/>
      <c r="AC62" s="6"/>
      <c r="AD62" s="6"/>
      <c r="AE62" s="6"/>
      <c r="AF62" s="6"/>
      <c r="AG62" s="6"/>
      <c r="AH62" s="6"/>
      <c r="AI62" s="27"/>
      <c r="AJ62" s="27"/>
      <c r="AK62" s="27"/>
      <c r="AL62" s="27"/>
      <c r="AM62" s="27"/>
      <c r="AN62" s="27"/>
      <c r="AO62" s="27"/>
      <c r="AP62" s="27"/>
      <c r="AQ62" s="27"/>
      <c r="AR62" s="27"/>
      <c r="AS62" s="27"/>
      <c r="AT62" s="27"/>
      <c r="AU62" s="27"/>
      <c r="AV62" s="27"/>
      <c r="AW62" s="27"/>
      <c r="AX62" s="27"/>
      <c r="AY62" s="27"/>
      <c r="AZ62" s="27"/>
      <c r="BA62" s="27"/>
      <c r="BB62" s="27"/>
      <c r="BC62" s="27"/>
      <c r="BD62" s="27"/>
    </row>
    <row r="63" spans="1:56" ht="18.75" customHeight="1">
      <c r="A63" s="23"/>
      <c r="B63" s="6"/>
      <c r="C63" s="24"/>
      <c r="E63" s="23"/>
      <c r="F63" s="25"/>
      <c r="G63" s="23"/>
      <c r="H63" s="6"/>
      <c r="I63" s="6"/>
      <c r="J63" s="6"/>
      <c r="K63" s="6"/>
      <c r="L63" s="6"/>
      <c r="M63" s="6"/>
      <c r="N63" s="6"/>
      <c r="O63" s="6"/>
      <c r="P63" s="6"/>
      <c r="Q63" s="6"/>
      <c r="R63" s="6"/>
      <c r="S63" s="6"/>
      <c r="T63" s="6"/>
      <c r="U63" s="6"/>
      <c r="V63" s="6"/>
      <c r="W63" s="6"/>
      <c r="X63" s="6"/>
      <c r="Y63" s="6"/>
      <c r="Z63" s="6"/>
      <c r="AA63" s="6"/>
      <c r="AB63" s="6"/>
      <c r="AC63" s="6"/>
      <c r="AD63" s="6"/>
      <c r="AE63" s="6"/>
      <c r="AF63" s="6"/>
      <c r="AG63" s="6"/>
      <c r="AH63" s="6"/>
      <c r="AI63" s="27"/>
      <c r="AJ63" s="27"/>
      <c r="AK63" s="27"/>
      <c r="AL63" s="27"/>
      <c r="AM63" s="27"/>
      <c r="AN63" s="27"/>
      <c r="AO63" s="27"/>
      <c r="AP63" s="27"/>
      <c r="AQ63" s="27"/>
      <c r="AR63" s="27"/>
      <c r="AS63" s="27"/>
      <c r="AT63" s="27"/>
      <c r="AU63" s="27"/>
      <c r="AV63" s="27"/>
      <c r="AW63" s="27"/>
      <c r="AX63" s="27"/>
      <c r="AY63" s="27"/>
      <c r="AZ63" s="27"/>
      <c r="BA63" s="27"/>
      <c r="BB63" s="27"/>
      <c r="BC63" s="27"/>
      <c r="BD63" s="27"/>
    </row>
    <row r="64" spans="1:56" s="17" customFormat="1" ht="14.25" outlineLevel="1">
      <c r="A64" s="17" t="s">
        <v>204</v>
      </c>
      <c r="B64" s="17" t="s">
        <v>205</v>
      </c>
      <c r="C64" s="160" t="s">
        <v>545</v>
      </c>
      <c r="D64" s="17" t="s">
        <v>206</v>
      </c>
      <c r="E64" s="30" t="s">
        <v>207</v>
      </c>
      <c r="F64" s="30" t="s">
        <v>208</v>
      </c>
      <c r="G64" s="23" t="s">
        <v>209</v>
      </c>
      <c r="H64" s="30" t="s">
        <v>214</v>
      </c>
      <c r="I64" s="30">
        <v>1347</v>
      </c>
      <c r="J64" s="30">
        <v>1336</v>
      </c>
      <c r="K64" s="30">
        <v>1310</v>
      </c>
      <c r="L64" s="30">
        <v>1313</v>
      </c>
      <c r="M64" s="30">
        <v>1312</v>
      </c>
      <c r="N64" s="30">
        <v>1340</v>
      </c>
      <c r="O64" s="30">
        <v>1340</v>
      </c>
      <c r="P64" s="30">
        <v>1420</v>
      </c>
      <c r="Q64" s="30">
        <v>1435</v>
      </c>
      <c r="R64" s="30">
        <v>1435</v>
      </c>
      <c r="S64" s="30">
        <v>1421</v>
      </c>
      <c r="T64" s="30">
        <v>1421</v>
      </c>
      <c r="U64" s="30">
        <v>1501</v>
      </c>
      <c r="V64" s="30">
        <v>1501</v>
      </c>
      <c r="W64" s="30">
        <v>1513</v>
      </c>
      <c r="X64" s="30">
        <v>1513</v>
      </c>
      <c r="Y64" s="30">
        <v>1617</v>
      </c>
      <c r="Z64" s="30">
        <v>1703</v>
      </c>
      <c r="AA64" s="30">
        <v>1998</v>
      </c>
      <c r="AB64" s="30">
        <v>2083</v>
      </c>
      <c r="AC64" s="30">
        <v>1905</v>
      </c>
      <c r="AD64" s="30">
        <v>1623</v>
      </c>
      <c r="AE64" s="30">
        <v>1231</v>
      </c>
      <c r="AF64" s="30">
        <v>771</v>
      </c>
      <c r="AG64" s="30">
        <v>845</v>
      </c>
      <c r="AH64" s="30">
        <v>848</v>
      </c>
      <c r="AI64" s="30">
        <v>904</v>
      </c>
      <c r="AJ64" s="17">
        <v>924</v>
      </c>
      <c r="AK64" s="17">
        <v>1100</v>
      </c>
      <c r="AL64" s="17">
        <v>1142</v>
      </c>
      <c r="AM64" s="17">
        <v>1126</v>
      </c>
      <c r="AN64" s="17">
        <v>1201</v>
      </c>
      <c r="AO64" s="17">
        <v>1243</v>
      </c>
      <c r="AP64" s="17">
        <v>1225</v>
      </c>
    </row>
    <row r="65" spans="1:58" s="17" customFormat="1" ht="14.25" outlineLevel="1">
      <c r="A65" s="17" t="s">
        <v>210</v>
      </c>
      <c r="B65" s="17" t="s">
        <v>205</v>
      </c>
      <c r="C65" s="160" t="s">
        <v>545</v>
      </c>
      <c r="D65" s="17" t="s">
        <v>206</v>
      </c>
      <c r="E65" s="30" t="s">
        <v>207</v>
      </c>
      <c r="F65" s="30" t="s">
        <v>208</v>
      </c>
      <c r="G65" s="23" t="s">
        <v>209</v>
      </c>
      <c r="H65" s="30" t="s">
        <v>211</v>
      </c>
      <c r="I65" s="30">
        <v>1307</v>
      </c>
      <c r="J65" s="30"/>
      <c r="K65" s="30"/>
      <c r="L65" s="30"/>
      <c r="M65" s="30"/>
      <c r="N65" s="30"/>
      <c r="O65" s="30"/>
      <c r="P65" s="30"/>
      <c r="Q65" s="30"/>
      <c r="R65" s="30"/>
      <c r="S65" s="30"/>
      <c r="T65" s="30"/>
      <c r="U65" s="30"/>
      <c r="V65" s="30"/>
      <c r="W65" s="30"/>
      <c r="X65" s="30"/>
      <c r="Y65" s="30">
        <v>1577</v>
      </c>
      <c r="Z65" s="30">
        <v>1663</v>
      </c>
      <c r="AA65" s="30">
        <v>1958</v>
      </c>
      <c r="AB65" s="30">
        <v>2043</v>
      </c>
      <c r="AC65" s="30">
        <v>1870</v>
      </c>
      <c r="AD65" s="30">
        <v>1588</v>
      </c>
      <c r="AE65" s="30">
        <v>1196</v>
      </c>
      <c r="AF65" s="30">
        <v>736</v>
      </c>
      <c r="AG65" s="30">
        <v>808</v>
      </c>
      <c r="AH65" s="30">
        <v>808</v>
      </c>
      <c r="AI65" s="30">
        <v>864</v>
      </c>
      <c r="AJ65" s="17">
        <v>884</v>
      </c>
      <c r="AK65" s="17">
        <v>1060</v>
      </c>
      <c r="AL65" s="17">
        <v>1102</v>
      </c>
      <c r="AM65" s="17">
        <v>1086</v>
      </c>
      <c r="AN65" s="17">
        <v>1161</v>
      </c>
      <c r="AO65" s="17">
        <v>1203</v>
      </c>
      <c r="AP65" s="17">
        <v>1185</v>
      </c>
      <c r="AS65" s="17">
        <v>1211</v>
      </c>
    </row>
    <row r="66" spans="1:58" outlineLevel="1">
      <c r="A66" s="17" t="s">
        <v>212</v>
      </c>
      <c r="B66" s="17" t="s">
        <v>205</v>
      </c>
      <c r="C66" s="160" t="s">
        <v>545</v>
      </c>
      <c r="D66" s="17" t="s">
        <v>206</v>
      </c>
      <c r="E66" s="30" t="s">
        <v>207</v>
      </c>
      <c r="F66" s="30" t="s">
        <v>208</v>
      </c>
      <c r="G66" s="23" t="s">
        <v>209</v>
      </c>
      <c r="H66" s="30" t="s">
        <v>213</v>
      </c>
      <c r="I66" s="30">
        <f>I64+30</f>
        <v>1377</v>
      </c>
      <c r="J66" s="32"/>
      <c r="K66" s="32"/>
      <c r="L66" s="32"/>
      <c r="M66" s="32"/>
      <c r="N66" s="32"/>
      <c r="O66" s="32"/>
      <c r="P66" s="32"/>
      <c r="Q66" s="32"/>
      <c r="R66" s="32"/>
      <c r="S66" s="32"/>
      <c r="T66" s="32"/>
      <c r="U66" s="32"/>
      <c r="V66" s="32"/>
      <c r="W66" s="32"/>
      <c r="X66" s="32"/>
      <c r="Y66" s="32">
        <f>Y64+30</f>
        <v>1647</v>
      </c>
      <c r="Z66" s="32">
        <f t="shared" ref="Z66:BF66" si="22">Z64+30</f>
        <v>1733</v>
      </c>
      <c r="AA66" s="32">
        <f t="shared" si="22"/>
        <v>2028</v>
      </c>
      <c r="AB66" s="32">
        <f t="shared" si="22"/>
        <v>2113</v>
      </c>
      <c r="AC66" s="32">
        <f t="shared" si="22"/>
        <v>1935</v>
      </c>
      <c r="AD66" s="32">
        <f t="shared" si="22"/>
        <v>1653</v>
      </c>
      <c r="AE66" s="32">
        <f t="shared" si="22"/>
        <v>1261</v>
      </c>
      <c r="AF66" s="32">
        <f t="shared" si="22"/>
        <v>801</v>
      </c>
      <c r="AG66" s="32">
        <f t="shared" si="22"/>
        <v>875</v>
      </c>
      <c r="AH66" s="32">
        <f t="shared" si="22"/>
        <v>878</v>
      </c>
      <c r="AI66" s="32">
        <f t="shared" si="22"/>
        <v>934</v>
      </c>
      <c r="AJ66" s="32">
        <f t="shared" si="22"/>
        <v>954</v>
      </c>
      <c r="AK66" s="32">
        <f t="shared" si="22"/>
        <v>1130</v>
      </c>
      <c r="AL66" s="32">
        <f t="shared" si="22"/>
        <v>1172</v>
      </c>
      <c r="AM66" s="32">
        <f t="shared" si="22"/>
        <v>1156</v>
      </c>
      <c r="AN66" s="32">
        <f t="shared" si="22"/>
        <v>1231</v>
      </c>
      <c r="AO66" s="32">
        <f t="shared" si="22"/>
        <v>1273</v>
      </c>
      <c r="AP66" s="32">
        <f t="shared" si="22"/>
        <v>1255</v>
      </c>
      <c r="AQ66" s="32">
        <f t="shared" si="22"/>
        <v>30</v>
      </c>
      <c r="AR66" s="32">
        <f t="shared" si="22"/>
        <v>30</v>
      </c>
      <c r="AS66" s="32"/>
      <c r="AT66" s="32">
        <f t="shared" si="22"/>
        <v>30</v>
      </c>
      <c r="AU66" s="32">
        <f t="shared" si="22"/>
        <v>30</v>
      </c>
      <c r="AV66" s="32">
        <f t="shared" si="22"/>
        <v>30</v>
      </c>
      <c r="AW66" s="32">
        <f t="shared" si="22"/>
        <v>30</v>
      </c>
      <c r="AX66" s="32">
        <f t="shared" si="22"/>
        <v>30</v>
      </c>
      <c r="AY66" s="32">
        <f t="shared" si="22"/>
        <v>30</v>
      </c>
      <c r="AZ66" s="32">
        <f t="shared" si="22"/>
        <v>30</v>
      </c>
      <c r="BA66" s="32">
        <f t="shared" si="22"/>
        <v>30</v>
      </c>
      <c r="BB66" s="32">
        <f t="shared" si="22"/>
        <v>30</v>
      </c>
      <c r="BC66" s="32">
        <f t="shared" si="22"/>
        <v>30</v>
      </c>
      <c r="BD66" s="32">
        <f t="shared" si="22"/>
        <v>30</v>
      </c>
      <c r="BE66" s="32">
        <f t="shared" si="22"/>
        <v>30</v>
      </c>
      <c r="BF66" s="32">
        <f t="shared" si="22"/>
        <v>30</v>
      </c>
    </row>
    <row r="67" spans="1:58" s="17" customFormat="1" ht="14.25" outlineLevel="1">
      <c r="A67" s="30" t="s">
        <v>91</v>
      </c>
      <c r="B67" s="17" t="s">
        <v>144</v>
      </c>
      <c r="C67" s="160"/>
      <c r="E67" s="30" t="s">
        <v>90</v>
      </c>
      <c r="F67" s="30" t="s">
        <v>143</v>
      </c>
      <c r="G67" s="30" t="s">
        <v>145</v>
      </c>
      <c r="H67" s="30" t="s">
        <v>146</v>
      </c>
      <c r="Z67" s="17">
        <v>1500</v>
      </c>
      <c r="AE67" s="17">
        <v>1800</v>
      </c>
    </row>
    <row r="68" spans="1:58" s="17" customFormat="1" ht="14.25" outlineLevel="1">
      <c r="A68" s="30" t="s">
        <v>92</v>
      </c>
      <c r="C68" s="160"/>
      <c r="E68" s="30" t="s">
        <v>90</v>
      </c>
      <c r="F68" s="30"/>
      <c r="G68" s="30"/>
      <c r="H68" s="30"/>
    </row>
    <row r="69" spans="1:58" s="17" customFormat="1" outlineLevel="1">
      <c r="A69" s="30" t="s">
        <v>93</v>
      </c>
      <c r="B69" s="17" t="s">
        <v>94</v>
      </c>
      <c r="C69" s="160" t="s">
        <v>546</v>
      </c>
      <c r="D69" s="17" t="s">
        <v>95</v>
      </c>
      <c r="E69" s="30" t="s">
        <v>96</v>
      </c>
      <c r="F69" s="30" t="s">
        <v>97</v>
      </c>
      <c r="G69" s="30" t="s">
        <v>98</v>
      </c>
      <c r="H69" s="30" t="s">
        <v>157</v>
      </c>
      <c r="I69" s="17">
        <v>10</v>
      </c>
      <c r="J69" s="17">
        <v>10</v>
      </c>
      <c r="K69" s="17">
        <v>10</v>
      </c>
      <c r="L69" s="17">
        <v>10</v>
      </c>
      <c r="M69" s="17">
        <v>10</v>
      </c>
      <c r="N69" s="17">
        <v>10</v>
      </c>
      <c r="O69" s="17">
        <v>10</v>
      </c>
      <c r="P69" s="17">
        <v>10</v>
      </c>
      <c r="Q69" s="17">
        <v>10</v>
      </c>
      <c r="R69" s="17">
        <v>10</v>
      </c>
      <c r="S69" s="17">
        <v>10</v>
      </c>
      <c r="T69" s="17">
        <v>10</v>
      </c>
      <c r="U69" s="17">
        <v>10</v>
      </c>
      <c r="V69" s="17">
        <v>10</v>
      </c>
      <c r="W69" s="17">
        <v>10</v>
      </c>
      <c r="X69" s="17">
        <v>10</v>
      </c>
      <c r="Y69" s="17">
        <v>10</v>
      </c>
      <c r="Z69" s="17">
        <v>10</v>
      </c>
      <c r="AA69" s="17">
        <v>10</v>
      </c>
      <c r="AB69" s="17">
        <v>10</v>
      </c>
      <c r="AC69" s="17">
        <v>10</v>
      </c>
      <c r="AD69" s="17">
        <v>10</v>
      </c>
      <c r="AE69" s="17">
        <v>10</v>
      </c>
      <c r="AF69" s="17">
        <v>10</v>
      </c>
      <c r="AG69" s="17">
        <v>10</v>
      </c>
      <c r="AH69" s="17">
        <v>10</v>
      </c>
      <c r="AP69" s="166" t="s">
        <v>568</v>
      </c>
    </row>
    <row r="70" spans="1:58" s="17" customFormat="1" outlineLevel="1">
      <c r="A70" s="30" t="s">
        <v>154</v>
      </c>
      <c r="B70" s="17" t="s">
        <v>156</v>
      </c>
      <c r="C70" s="160" t="s">
        <v>547</v>
      </c>
      <c r="E70" s="30"/>
      <c r="F70" s="30"/>
      <c r="G70" s="30"/>
      <c r="H70" s="30" t="s">
        <v>158</v>
      </c>
      <c r="AH70" s="17">
        <v>4.28</v>
      </c>
      <c r="AI70" s="17">
        <v>5.05</v>
      </c>
      <c r="AL70" s="27"/>
      <c r="AM70" s="27"/>
      <c r="AN70" s="27"/>
      <c r="AO70" s="27"/>
      <c r="AP70" s="166" t="s">
        <v>569</v>
      </c>
    </row>
    <row r="71" spans="1:58" s="17" customFormat="1" outlineLevel="1">
      <c r="A71" s="30" t="s">
        <v>154</v>
      </c>
      <c r="B71" s="17" t="s">
        <v>155</v>
      </c>
      <c r="C71" s="160" t="s">
        <v>547</v>
      </c>
      <c r="E71" s="30"/>
      <c r="F71" s="30"/>
      <c r="G71" s="30"/>
      <c r="H71" s="30" t="s">
        <v>159</v>
      </c>
      <c r="AH71" s="17">
        <v>4.72</v>
      </c>
      <c r="AP71" s="166" t="s">
        <v>570</v>
      </c>
    </row>
    <row r="72" spans="1:58" s="28" customFormat="1" ht="18.75" customHeight="1" outlineLevel="1">
      <c r="A72" s="23" t="s">
        <v>88</v>
      </c>
      <c r="B72" s="6" t="s">
        <v>85</v>
      </c>
      <c r="C72" s="24" t="s">
        <v>85</v>
      </c>
      <c r="D72" s="6" t="s">
        <v>132</v>
      </c>
      <c r="E72" s="23" t="s">
        <v>147</v>
      </c>
      <c r="F72" s="25" t="s">
        <v>86</v>
      </c>
      <c r="G72" s="23" t="s">
        <v>87</v>
      </c>
      <c r="H72" s="6" t="s">
        <v>89</v>
      </c>
      <c r="I72" s="6"/>
      <c r="J72" s="6"/>
      <c r="K72" s="6"/>
      <c r="L72" s="6"/>
      <c r="M72" s="6"/>
      <c r="N72" s="6"/>
      <c r="O72" s="6"/>
      <c r="P72" s="6"/>
      <c r="Q72" s="6"/>
      <c r="R72" s="6"/>
      <c r="S72" s="6"/>
      <c r="T72" s="6"/>
      <c r="U72" s="26">
        <v>879.8</v>
      </c>
      <c r="V72" s="26">
        <v>879.8</v>
      </c>
      <c r="W72" s="26">
        <v>901</v>
      </c>
      <c r="X72" s="26">
        <v>954</v>
      </c>
      <c r="Y72" s="26">
        <v>1007</v>
      </c>
      <c r="Z72" s="26">
        <v>1038.8</v>
      </c>
      <c r="AA72" s="26">
        <v>1166</v>
      </c>
      <c r="AB72" s="26">
        <v>1335.6</v>
      </c>
      <c r="AC72" s="26">
        <v>1250.8</v>
      </c>
      <c r="AD72" s="26">
        <v>1166</v>
      </c>
      <c r="AE72" s="6"/>
      <c r="AF72" s="6"/>
      <c r="AG72" s="6"/>
      <c r="AH72" s="6"/>
      <c r="AI72" s="27"/>
      <c r="AJ72" s="27"/>
      <c r="AK72" s="27"/>
      <c r="AQ72" s="27"/>
      <c r="AR72" s="27"/>
      <c r="AS72" s="27"/>
      <c r="AT72" s="27"/>
      <c r="AU72" s="27"/>
      <c r="AV72" s="27"/>
      <c r="AW72" s="27"/>
      <c r="AX72" s="27"/>
      <c r="AY72" s="27"/>
      <c r="AZ72" s="27"/>
      <c r="BA72" s="27"/>
      <c r="BB72" s="27"/>
      <c r="BC72" s="27"/>
      <c r="BD72" s="27"/>
    </row>
    <row r="73" spans="1:58" outlineLevel="1">
      <c r="A73" s="31" t="s">
        <v>141</v>
      </c>
      <c r="E73" s="32"/>
      <c r="F73" s="30" t="s">
        <v>188</v>
      </c>
      <c r="G73" s="32"/>
      <c r="H73" s="32"/>
    </row>
    <row r="74" spans="1:58" outlineLevel="1">
      <c r="A74" s="31" t="s">
        <v>185</v>
      </c>
      <c r="B74" s="17" t="s">
        <v>186</v>
      </c>
      <c r="D74" t="s">
        <v>187</v>
      </c>
      <c r="E74" s="30" t="s">
        <v>96</v>
      </c>
      <c r="F74" s="30" t="s">
        <v>188</v>
      </c>
      <c r="G74" s="23" t="s">
        <v>189</v>
      </c>
      <c r="H74" s="30" t="s">
        <v>190</v>
      </c>
      <c r="AC74" s="74">
        <v>1.73</v>
      </c>
      <c r="AD74" s="74">
        <v>1.7</v>
      </c>
      <c r="AE74" s="74">
        <v>1.6</v>
      </c>
      <c r="AF74" s="74">
        <v>1.6</v>
      </c>
      <c r="AG74" s="74" t="s">
        <v>191</v>
      </c>
      <c r="AH74" s="74">
        <v>1.5</v>
      </c>
      <c r="AI74" s="74" t="s">
        <v>191</v>
      </c>
    </row>
    <row r="75" spans="1:58" outlineLevel="1">
      <c r="A75" s="31" t="s">
        <v>220</v>
      </c>
      <c r="D75" t="s">
        <v>221</v>
      </c>
    </row>
    <row r="76" spans="1:58" ht="18.75" customHeight="1" outlineLevel="1">
      <c r="A76" s="41" t="s">
        <v>514</v>
      </c>
      <c r="B76" s="41" t="s">
        <v>513</v>
      </c>
      <c r="C76" s="152" t="s">
        <v>548</v>
      </c>
      <c r="D76" s="41" t="s">
        <v>522</v>
      </c>
      <c r="E76" s="62" t="s">
        <v>515</v>
      </c>
      <c r="F76" s="41" t="s">
        <v>516</v>
      </c>
      <c r="G76" s="41" t="s">
        <v>517</v>
      </c>
      <c r="H76" s="66" t="s">
        <v>518</v>
      </c>
      <c r="I76" s="41"/>
      <c r="J76" s="41"/>
      <c r="K76" s="41"/>
      <c r="L76" s="41"/>
      <c r="M76" s="41"/>
      <c r="N76" s="41"/>
      <c r="O76" s="41"/>
      <c r="P76" s="41"/>
      <c r="Q76" s="41"/>
      <c r="R76" s="41"/>
      <c r="S76" s="41"/>
      <c r="T76" s="41"/>
      <c r="U76" s="41"/>
      <c r="V76" s="41"/>
      <c r="W76" s="41"/>
      <c r="X76" s="41"/>
      <c r="Y76" s="41"/>
      <c r="Z76" s="41"/>
      <c r="AA76" s="41"/>
      <c r="AB76" s="41"/>
      <c r="AC76" s="41"/>
      <c r="AD76" s="41"/>
      <c r="AE76" s="41">
        <v>4656</v>
      </c>
      <c r="AF76" s="41">
        <v>4687</v>
      </c>
      <c r="AG76" s="41">
        <v>5087</v>
      </c>
      <c r="AH76" s="41">
        <v>5425</v>
      </c>
      <c r="AI76" s="41">
        <v>5287</v>
      </c>
      <c r="AJ76" s="50">
        <v>5062</v>
      </c>
      <c r="AK76" s="50">
        <v>4993</v>
      </c>
      <c r="AL76" s="50">
        <v>5287</v>
      </c>
      <c r="AM76" s="50">
        <v>5850</v>
      </c>
      <c r="AN76" s="50">
        <v>6531</v>
      </c>
      <c r="AO76" s="50">
        <v>6562</v>
      </c>
      <c r="AP76" s="51"/>
      <c r="AQ76" s="51"/>
      <c r="AR76" s="51"/>
      <c r="AS76" s="51"/>
      <c r="AT76" s="51"/>
      <c r="AU76" s="51"/>
      <c r="AV76" s="51"/>
      <c r="AW76" s="51"/>
      <c r="AX76" s="51"/>
      <c r="AY76" s="51"/>
      <c r="AZ76" s="51"/>
      <c r="BA76" s="51"/>
      <c r="BB76" s="51"/>
      <c r="BC76" s="51"/>
      <c r="BD76" s="51"/>
    </row>
    <row r="77" spans="1:58" outlineLevel="1"/>
    <row r="78" spans="1:58" outlineLevel="1"/>
    <row r="79" spans="1:58" outlineLevel="1"/>
    <row r="80" spans="1:58" outlineLevel="1">
      <c r="A80" t="s">
        <v>222</v>
      </c>
    </row>
    <row r="81" spans="1:5" outlineLevel="1">
      <c r="A81" t="s">
        <v>223</v>
      </c>
    </row>
    <row r="82" spans="1:5" outlineLevel="1">
      <c r="A82" t="s">
        <v>224</v>
      </c>
    </row>
    <row r="83" spans="1:5" outlineLevel="1"/>
    <row r="84" spans="1:5" outlineLevel="1"/>
    <row r="85" spans="1:5" outlineLevel="1"/>
    <row r="86" spans="1:5" outlineLevel="1">
      <c r="A86" t="s">
        <v>66</v>
      </c>
      <c r="B86" s="15"/>
      <c r="C86" s="15" t="s">
        <v>40</v>
      </c>
      <c r="D86" s="15"/>
      <c r="E86" s="15" t="s">
        <v>41</v>
      </c>
    </row>
    <row r="87" spans="1:5" outlineLevel="1">
      <c r="A87" t="s">
        <v>5</v>
      </c>
      <c r="B87" s="15">
        <v>39083</v>
      </c>
      <c r="C87" s="15">
        <f>IF(B87&gt;='Material index'!$F$4,"",B87)</f>
        <v>39083</v>
      </c>
      <c r="D87" s="15">
        <v>40513</v>
      </c>
      <c r="E87" s="15" t="str">
        <f>IF(D87&gt;'Material index'!$F$4,"",D87)</f>
        <v/>
      </c>
    </row>
    <row r="88" spans="1:5" outlineLevel="1">
      <c r="A88" t="s">
        <v>62</v>
      </c>
      <c r="B88" s="15">
        <v>39114</v>
      </c>
      <c r="C88" s="15">
        <f>IF(B88&gt;='Material index'!$F$4,"",B88)</f>
        <v>39114</v>
      </c>
      <c r="D88" s="15">
        <v>40483</v>
      </c>
      <c r="E88" s="15" t="str">
        <f>IF(D88&gt;'Material index'!$F$4,"",D88)</f>
        <v/>
      </c>
    </row>
    <row r="89" spans="1:5" outlineLevel="1">
      <c r="A89" t="s">
        <v>64</v>
      </c>
      <c r="B89" s="15">
        <v>39142</v>
      </c>
      <c r="C89" s="15">
        <f>IF(B89&gt;='Material index'!$F$4,"",B89)</f>
        <v>39142</v>
      </c>
      <c r="D89" s="15">
        <v>40452</v>
      </c>
      <c r="E89" s="15" t="str">
        <f>IF(D89&gt;'Material index'!$F$4,"",D89)</f>
        <v/>
      </c>
    </row>
    <row r="90" spans="1:5" outlineLevel="1">
      <c r="A90" t="s">
        <v>63</v>
      </c>
      <c r="B90" s="15">
        <v>39173</v>
      </c>
      <c r="C90" s="15">
        <f>IF(B90&gt;='Material index'!$F$4,"",B90)</f>
        <v>39173</v>
      </c>
      <c r="D90" s="15">
        <v>40422</v>
      </c>
      <c r="E90" s="15" t="str">
        <f>IF(D90&gt;'Material index'!$F$4,"",D90)</f>
        <v/>
      </c>
    </row>
    <row r="91" spans="1:5" outlineLevel="1">
      <c r="A91" t="s">
        <v>150</v>
      </c>
      <c r="B91" s="15">
        <v>39203</v>
      </c>
      <c r="C91" s="15">
        <f>IF(B91&gt;='Material index'!$F$4,"",B91)</f>
        <v>39203</v>
      </c>
      <c r="D91" s="15">
        <v>40391</v>
      </c>
      <c r="E91" s="15" t="str">
        <f>IF(D91&gt;'Material index'!$F$4,"",D91)</f>
        <v/>
      </c>
    </row>
    <row r="92" spans="1:5" outlineLevel="1">
      <c r="B92" s="15">
        <v>39234</v>
      </c>
      <c r="C92" s="15">
        <f>IF(B92&gt;='Material index'!$F$4,"",B92)</f>
        <v>39234</v>
      </c>
      <c r="D92" s="15">
        <v>40360</v>
      </c>
      <c r="E92" s="15" t="str">
        <f>IF(D92&gt;'Material index'!$F$4,"",D92)</f>
        <v/>
      </c>
    </row>
    <row r="93" spans="1:5" outlineLevel="1">
      <c r="B93" s="15">
        <v>39264</v>
      </c>
      <c r="C93" s="15">
        <f>IF(B93&gt;='Material index'!$F$4,"",B93)</f>
        <v>39264</v>
      </c>
      <c r="D93" s="15">
        <v>40330</v>
      </c>
      <c r="E93" s="15" t="str">
        <f>IF(D93&gt;'Material index'!$F$4,"",D93)</f>
        <v/>
      </c>
    </row>
    <row r="94" spans="1:5" outlineLevel="1">
      <c r="B94" s="15">
        <v>39295</v>
      </c>
      <c r="C94" s="15">
        <f>IF(B94&gt;='Material index'!$F$4,"",B94)</f>
        <v>39295</v>
      </c>
      <c r="D94" s="15">
        <v>40299</v>
      </c>
      <c r="E94" s="15" t="str">
        <f>IF(D94&gt;'Material index'!$F$4,"",D94)</f>
        <v/>
      </c>
    </row>
    <row r="95" spans="1:5" outlineLevel="1">
      <c r="B95" s="15">
        <v>39326</v>
      </c>
      <c r="C95" s="15">
        <f>IF(B95&gt;='Material index'!$F$4,"",B95)</f>
        <v>39326</v>
      </c>
      <c r="D95" s="15">
        <v>40269</v>
      </c>
      <c r="E95" s="15" t="str">
        <f>IF(D95&gt;'Material index'!$F$4,"",D95)</f>
        <v/>
      </c>
    </row>
    <row r="96" spans="1:5" outlineLevel="1">
      <c r="B96" s="15">
        <v>39356</v>
      </c>
      <c r="C96" s="15">
        <f>IF(B96&gt;='Material index'!$F$4,"",B96)</f>
        <v>39356</v>
      </c>
      <c r="D96" s="15">
        <v>40238</v>
      </c>
      <c r="E96" s="15" t="str">
        <f>IF(D96&gt;'Material index'!$F$4,"",D96)</f>
        <v/>
      </c>
    </row>
    <row r="97" spans="2:5" outlineLevel="1">
      <c r="B97" s="15">
        <v>39387</v>
      </c>
      <c r="C97" s="15">
        <f>IF(B97&gt;='Material index'!$F$4,"",B97)</f>
        <v>39387</v>
      </c>
      <c r="D97" s="15">
        <v>40210</v>
      </c>
      <c r="E97" s="15" t="str">
        <f>IF(D97&gt;'Material index'!$F$4,"",D97)</f>
        <v/>
      </c>
    </row>
    <row r="98" spans="2:5" outlineLevel="1">
      <c r="B98" s="15">
        <v>39417</v>
      </c>
      <c r="C98" s="15">
        <f>IF(B98&gt;='Material index'!$F$4,"",B98)</f>
        <v>39417</v>
      </c>
      <c r="D98" s="15">
        <v>40179</v>
      </c>
      <c r="E98" s="15">
        <v>40179</v>
      </c>
    </row>
    <row r="99" spans="2:5" outlineLevel="1">
      <c r="B99" s="15">
        <v>39448</v>
      </c>
      <c r="C99" s="15">
        <f>IF(B99&gt;='Material index'!$F$4,"",B99)</f>
        <v>39448</v>
      </c>
      <c r="D99" s="15">
        <v>40148</v>
      </c>
      <c r="E99" s="15">
        <v>40148</v>
      </c>
    </row>
    <row r="100" spans="2:5" outlineLevel="1">
      <c r="B100" s="15">
        <v>39479</v>
      </c>
      <c r="C100" s="15">
        <f>IF(B100&gt;='Material index'!$F$4,"",B100)</f>
        <v>39479</v>
      </c>
      <c r="D100" s="15">
        <v>40118</v>
      </c>
      <c r="E100" s="15">
        <v>40118</v>
      </c>
    </row>
    <row r="101" spans="2:5" outlineLevel="1">
      <c r="B101" s="15">
        <v>39508</v>
      </c>
      <c r="C101" s="15">
        <f>IF(B101&gt;='Material index'!$F$4,"",B101)</f>
        <v>39508</v>
      </c>
      <c r="D101" s="15">
        <v>40087</v>
      </c>
      <c r="E101" s="15">
        <v>40087</v>
      </c>
    </row>
    <row r="102" spans="2:5" outlineLevel="1">
      <c r="B102" s="15">
        <v>39539</v>
      </c>
      <c r="C102" s="15">
        <f>IF(B102&gt;='Material index'!$F$4,"",B102)</f>
        <v>39539</v>
      </c>
      <c r="D102" s="15">
        <v>40057</v>
      </c>
      <c r="E102" s="15">
        <v>40057</v>
      </c>
    </row>
    <row r="103" spans="2:5" outlineLevel="1">
      <c r="B103" s="15">
        <v>39569</v>
      </c>
      <c r="C103" s="15">
        <f>IF(B103&gt;='Material index'!$F$4,"",B103)</f>
        <v>39569</v>
      </c>
      <c r="D103" s="15">
        <v>40026</v>
      </c>
      <c r="E103" s="15">
        <v>40026</v>
      </c>
    </row>
    <row r="104" spans="2:5" outlineLevel="1">
      <c r="B104" s="15">
        <v>39600</v>
      </c>
      <c r="C104" s="15">
        <f>IF(B104&gt;='Material index'!$F$4,"",B104)</f>
        <v>39600</v>
      </c>
      <c r="D104" s="15">
        <v>39995</v>
      </c>
      <c r="E104" s="15">
        <v>39995</v>
      </c>
    </row>
    <row r="105" spans="2:5" outlineLevel="1">
      <c r="B105" s="15">
        <v>39630</v>
      </c>
      <c r="C105" s="15">
        <f>IF(B105&gt;='Material index'!$F$4,"",B105)</f>
        <v>39630</v>
      </c>
      <c r="D105" s="15">
        <v>39965</v>
      </c>
      <c r="E105" s="15">
        <v>39965</v>
      </c>
    </row>
    <row r="106" spans="2:5" outlineLevel="1">
      <c r="B106" s="15">
        <v>39661</v>
      </c>
      <c r="C106" s="15">
        <f>IF(B106&gt;='Material index'!$F$4,"",B106)</f>
        <v>39661</v>
      </c>
      <c r="D106" s="15">
        <v>39934</v>
      </c>
      <c r="E106" s="15">
        <v>39934</v>
      </c>
    </row>
    <row r="107" spans="2:5" outlineLevel="1">
      <c r="B107" s="15">
        <v>39692</v>
      </c>
      <c r="C107" s="15">
        <f>IF(B107&gt;='Material index'!$F$4,"",B107)</f>
        <v>39692</v>
      </c>
      <c r="D107" s="15">
        <v>39904</v>
      </c>
      <c r="E107" s="15">
        <v>39904</v>
      </c>
    </row>
    <row r="108" spans="2:5" outlineLevel="1">
      <c r="B108" s="15">
        <v>39722</v>
      </c>
      <c r="C108" s="15">
        <f>IF(B108&gt;='Material index'!$F$4,"",B108)</f>
        <v>39722</v>
      </c>
      <c r="D108" s="15">
        <v>39873</v>
      </c>
      <c r="E108" s="15">
        <f>IF(D108&gt;'Material index'!$F$4,"",D108)</f>
        <v>39873</v>
      </c>
    </row>
    <row r="109" spans="2:5" outlineLevel="1">
      <c r="B109" s="15">
        <v>39753</v>
      </c>
      <c r="C109" s="15">
        <f>IF(B109&gt;='Material index'!$F$4,"",B109)</f>
        <v>39753</v>
      </c>
      <c r="D109" s="15">
        <v>39845</v>
      </c>
      <c r="E109" s="15">
        <f>IF(D109&gt;'Material index'!$F$4,"",D109)</f>
        <v>39845</v>
      </c>
    </row>
    <row r="110" spans="2:5" outlineLevel="1">
      <c r="B110" s="15">
        <v>39783</v>
      </c>
      <c r="C110" s="15">
        <f>IF(B110&gt;='Material index'!$F$4,"",B110)</f>
        <v>39783</v>
      </c>
      <c r="D110" s="15">
        <v>39814</v>
      </c>
      <c r="E110" s="15">
        <f>IF(D110&gt;'Material index'!$F$4,"",D110)</f>
        <v>39814</v>
      </c>
    </row>
    <row r="111" spans="2:5" outlineLevel="1">
      <c r="B111" s="15">
        <v>39814</v>
      </c>
      <c r="C111" s="15">
        <f>IF(B111&gt;='Material index'!$F$4,"",B111)</f>
        <v>39814</v>
      </c>
      <c r="D111" s="15">
        <v>39783</v>
      </c>
      <c r="E111" s="15">
        <f>IF(D111&gt;'Material index'!$F$4,"",D111)</f>
        <v>39783</v>
      </c>
    </row>
    <row r="112" spans="2:5" outlineLevel="1">
      <c r="B112" s="15">
        <v>39845</v>
      </c>
      <c r="C112" s="15">
        <f>IF(B112&gt;='Material index'!$F$4,"",B112)</f>
        <v>39845</v>
      </c>
      <c r="D112" s="15">
        <v>39753</v>
      </c>
      <c r="E112" s="15">
        <f>IF(D112&gt;'Material index'!$F$4,"",D112)</f>
        <v>39753</v>
      </c>
    </row>
    <row r="113" spans="2:5" outlineLevel="1">
      <c r="B113" s="15">
        <v>39873</v>
      </c>
      <c r="C113" s="15">
        <v>39873</v>
      </c>
      <c r="D113" s="15">
        <v>39722</v>
      </c>
      <c r="E113" s="15">
        <f>IF(D113&gt;'Material index'!$F$4,"",D113)</f>
        <v>39722</v>
      </c>
    </row>
    <row r="114" spans="2:5" outlineLevel="1">
      <c r="B114" s="15">
        <v>39904</v>
      </c>
      <c r="C114" s="15">
        <v>39904</v>
      </c>
      <c r="D114" s="15">
        <v>39692</v>
      </c>
      <c r="E114" s="15">
        <f>IF(D114&gt;'Material index'!$F$4,"",D114)</f>
        <v>39692</v>
      </c>
    </row>
    <row r="115" spans="2:5" outlineLevel="1">
      <c r="B115" s="15">
        <v>39934</v>
      </c>
      <c r="C115" s="15">
        <v>39942</v>
      </c>
      <c r="D115" s="15">
        <v>39661</v>
      </c>
      <c r="E115" s="15">
        <f>IF(D115&gt;'Material index'!$F$4,"",D115)</f>
        <v>39661</v>
      </c>
    </row>
    <row r="116" spans="2:5" outlineLevel="1">
      <c r="B116" s="15">
        <v>39965</v>
      </c>
      <c r="C116" s="15">
        <v>39965</v>
      </c>
      <c r="D116" s="15">
        <v>39630</v>
      </c>
      <c r="E116" s="15">
        <f>IF(D116&gt;'Material index'!$F$4,"",D116)</f>
        <v>39630</v>
      </c>
    </row>
    <row r="117" spans="2:5" outlineLevel="1">
      <c r="B117" s="15">
        <v>39995</v>
      </c>
      <c r="C117" s="15">
        <v>39995</v>
      </c>
      <c r="D117" s="15">
        <v>39600</v>
      </c>
      <c r="E117" s="15">
        <f>IF(D117&gt;'Material index'!$F$4,"",D117)</f>
        <v>39600</v>
      </c>
    </row>
    <row r="118" spans="2:5" outlineLevel="1">
      <c r="B118" s="15">
        <v>40026</v>
      </c>
      <c r="C118" s="15">
        <v>40026</v>
      </c>
      <c r="D118" s="15">
        <v>39569</v>
      </c>
      <c r="E118" s="15">
        <f>IF(D118&gt;'Material index'!$F$4,"",D118)</f>
        <v>39569</v>
      </c>
    </row>
    <row r="119" spans="2:5" outlineLevel="1">
      <c r="B119" s="15">
        <v>40057</v>
      </c>
      <c r="C119" s="15">
        <v>40057</v>
      </c>
      <c r="D119" s="15">
        <v>39539</v>
      </c>
      <c r="E119" s="15">
        <f>IF(D119&gt;'Material index'!$F$4,"",D119)</f>
        <v>39539</v>
      </c>
    </row>
    <row r="120" spans="2:5" outlineLevel="1">
      <c r="B120" s="15">
        <v>40087</v>
      </c>
      <c r="C120" s="15">
        <v>40087</v>
      </c>
      <c r="D120" s="15">
        <v>39508</v>
      </c>
      <c r="E120" s="15">
        <f>IF(D120&gt;'Material index'!$F$4,"",D120)</f>
        <v>39508</v>
      </c>
    </row>
    <row r="121" spans="2:5" outlineLevel="1">
      <c r="B121" s="15">
        <v>40118</v>
      </c>
      <c r="C121" s="15">
        <v>40118</v>
      </c>
      <c r="D121" s="15">
        <v>39479</v>
      </c>
      <c r="E121" s="15">
        <f>IF(D121&gt;'Material index'!$F$4,"",D121)</f>
        <v>39479</v>
      </c>
    </row>
    <row r="122" spans="2:5" outlineLevel="1">
      <c r="B122" s="15">
        <v>40148</v>
      </c>
      <c r="C122" s="15">
        <v>40148</v>
      </c>
      <c r="D122" s="15">
        <v>39448</v>
      </c>
      <c r="E122" s="15">
        <f>IF(D122&gt;'Material index'!$F$4,"",D122)</f>
        <v>39448</v>
      </c>
    </row>
    <row r="123" spans="2:5" outlineLevel="1">
      <c r="B123" s="15">
        <v>40179</v>
      </c>
      <c r="C123" s="15" t="str">
        <f>IF(B123&gt;='Material index'!$F$4,"",B123)</f>
        <v/>
      </c>
      <c r="D123" s="15">
        <v>39417</v>
      </c>
      <c r="E123" s="15">
        <f>IF(D123&gt;'Material index'!$F$4,"",D123)</f>
        <v>39417</v>
      </c>
    </row>
    <row r="124" spans="2:5" outlineLevel="1">
      <c r="B124" s="15">
        <v>40210</v>
      </c>
      <c r="C124" s="15" t="str">
        <f>IF(B124&gt;='Material index'!$F$4,"",B124)</f>
        <v/>
      </c>
      <c r="D124" s="15">
        <v>39387</v>
      </c>
      <c r="E124" s="15">
        <f>IF(D124&gt;'Material index'!$F$4,"",D124)</f>
        <v>39387</v>
      </c>
    </row>
    <row r="125" spans="2:5" outlineLevel="1">
      <c r="B125" s="15">
        <v>40238</v>
      </c>
      <c r="C125" s="15" t="str">
        <f>IF(B125&gt;='Material index'!$F$4,"",B125)</f>
        <v/>
      </c>
      <c r="D125" s="15">
        <v>39356</v>
      </c>
      <c r="E125" s="15">
        <f>IF(D125&gt;'Material index'!$F$4,"",D125)</f>
        <v>39356</v>
      </c>
    </row>
    <row r="126" spans="2:5" outlineLevel="1">
      <c r="B126" s="15">
        <v>40269</v>
      </c>
      <c r="C126" s="15" t="str">
        <f>IF(B126&gt;='Material index'!$F$4,"",B126)</f>
        <v/>
      </c>
      <c r="D126" s="15">
        <v>39326</v>
      </c>
      <c r="E126" s="15">
        <f>IF(D126&gt;'Material index'!$F$4,"",D126)</f>
        <v>39326</v>
      </c>
    </row>
    <row r="127" spans="2:5" outlineLevel="1">
      <c r="B127" s="15">
        <v>40299</v>
      </c>
      <c r="C127" s="15" t="str">
        <f>IF(B127&gt;='Material index'!$F$4,"",B127)</f>
        <v/>
      </c>
      <c r="D127" s="15">
        <v>39295</v>
      </c>
      <c r="E127" s="15">
        <f>IF(D127&gt;'Material index'!$F$4,"",D127)</f>
        <v>39295</v>
      </c>
    </row>
    <row r="128" spans="2:5" outlineLevel="1">
      <c r="B128" s="15">
        <v>40330</v>
      </c>
      <c r="C128" s="15" t="str">
        <f>IF(B128&gt;='Material index'!$F$4,"",B128)</f>
        <v/>
      </c>
      <c r="D128" s="15">
        <v>39264</v>
      </c>
      <c r="E128" s="15">
        <f>IF(D128&gt;'Material index'!$F$4,"",D128)</f>
        <v>39264</v>
      </c>
    </row>
    <row r="129" spans="1:5" outlineLevel="1">
      <c r="B129" s="15">
        <v>40360</v>
      </c>
      <c r="C129" s="15" t="str">
        <f>IF(B129&gt;='Material index'!$F$4,"",B129)</f>
        <v/>
      </c>
      <c r="D129" s="15">
        <v>39234</v>
      </c>
      <c r="E129" s="15">
        <f>IF(D129&gt;'Material index'!$F$4,"",D129)</f>
        <v>39234</v>
      </c>
    </row>
    <row r="130" spans="1:5" outlineLevel="1">
      <c r="B130" s="15">
        <v>40391</v>
      </c>
      <c r="C130" s="15" t="str">
        <f>IF(B130&gt;='Material index'!$F$4,"",B130)</f>
        <v/>
      </c>
      <c r="D130" s="15">
        <v>39203</v>
      </c>
      <c r="E130" s="15">
        <f>IF(D130&gt;'Material index'!$F$4,"",D130)</f>
        <v>39203</v>
      </c>
    </row>
    <row r="131" spans="1:5" outlineLevel="1">
      <c r="B131" s="15">
        <v>40422</v>
      </c>
      <c r="C131" s="15" t="str">
        <f>IF(B131&gt;='Material index'!$F$4,"",B131)</f>
        <v/>
      </c>
      <c r="D131" s="15">
        <v>39173</v>
      </c>
      <c r="E131" s="15">
        <f>IF(D131&gt;'Material index'!$F$4,"",D131)</f>
        <v>39173</v>
      </c>
    </row>
    <row r="132" spans="1:5" outlineLevel="1">
      <c r="B132" s="15">
        <v>40452</v>
      </c>
      <c r="C132" s="15" t="str">
        <f>IF(B132&gt;='Material index'!$F$4,"",B132)</f>
        <v/>
      </c>
      <c r="D132" s="15">
        <v>39142</v>
      </c>
      <c r="E132" s="15">
        <f>IF(D132&gt;'Material index'!$F$4,"",D132)</f>
        <v>39142</v>
      </c>
    </row>
    <row r="133" spans="1:5" outlineLevel="1">
      <c r="B133" s="15">
        <v>40483</v>
      </c>
      <c r="C133" s="15" t="str">
        <f>IF(B133&gt;='Material index'!$F$4,"",B133)</f>
        <v/>
      </c>
      <c r="D133" s="15">
        <v>39114</v>
      </c>
      <c r="E133" s="15">
        <f>IF(D133&gt;'Material index'!$F$4,"",D133)</f>
        <v>39114</v>
      </c>
    </row>
    <row r="134" spans="1:5" outlineLevel="1">
      <c r="B134" s="15">
        <v>40513</v>
      </c>
      <c r="C134" s="15" t="str">
        <f>IF(B134&gt;='Material index'!$F$4,"",B134)</f>
        <v/>
      </c>
      <c r="D134" s="15">
        <v>39083</v>
      </c>
      <c r="E134" s="15">
        <f>IF(D134&gt;'Material index'!$F$4,"",D134)</f>
        <v>39083</v>
      </c>
    </row>
    <row r="135" spans="1:5" outlineLevel="1"/>
    <row r="136" spans="1:5" outlineLevel="1"/>
    <row r="137" spans="1:5" outlineLevel="1"/>
    <row r="138" spans="1:5" outlineLevel="1">
      <c r="A138" t="s">
        <v>184</v>
      </c>
      <c r="E138" t="s">
        <v>192</v>
      </c>
    </row>
    <row r="139" spans="1:5" s="17" customFormat="1" outlineLevel="1">
      <c r="A139" s="22">
        <v>1</v>
      </c>
      <c r="B139" s="17" t="s">
        <v>126</v>
      </c>
      <c r="C139" s="73"/>
      <c r="D139" s="19" t="s">
        <v>106</v>
      </c>
    </row>
    <row r="140" spans="1:5" s="17" customFormat="1" outlineLevel="1">
      <c r="A140" s="22"/>
      <c r="B140" s="17" t="s">
        <v>118</v>
      </c>
      <c r="C140" s="73"/>
      <c r="D140" s="17" t="s">
        <v>115</v>
      </c>
      <c r="E140" s="17" t="s">
        <v>116</v>
      </c>
    </row>
    <row r="141" spans="1:5" s="17" customFormat="1" outlineLevel="1">
      <c r="A141" s="22"/>
      <c r="C141" s="73"/>
      <c r="D141" s="17" t="s">
        <v>111</v>
      </c>
      <c r="E141" s="17" t="s">
        <v>112</v>
      </c>
    </row>
    <row r="142" spans="1:5" s="17" customFormat="1" outlineLevel="1">
      <c r="A142" s="22"/>
      <c r="C142" s="73"/>
    </row>
    <row r="143" spans="1:5" s="17" customFormat="1" outlineLevel="1">
      <c r="A143" s="22">
        <v>2</v>
      </c>
      <c r="B143" s="17" t="s">
        <v>104</v>
      </c>
      <c r="C143" s="73"/>
      <c r="D143" s="20" t="s">
        <v>109</v>
      </c>
    </row>
    <row r="144" spans="1:5" s="17" customFormat="1" outlineLevel="1">
      <c r="A144" s="22"/>
      <c r="B144" s="29" t="s">
        <v>137</v>
      </c>
      <c r="C144" s="73"/>
      <c r="D144" s="17" t="s">
        <v>110</v>
      </c>
      <c r="E144" s="17" t="s">
        <v>527</v>
      </c>
    </row>
    <row r="145" spans="1:5" s="17" customFormat="1" outlineLevel="1">
      <c r="A145" s="22"/>
      <c r="C145" s="73"/>
      <c r="D145" s="17" t="s">
        <v>111</v>
      </c>
      <c r="E145" s="17" t="s">
        <v>112</v>
      </c>
    </row>
    <row r="146" spans="1:5" s="17" customFormat="1" outlineLevel="1">
      <c r="A146" s="22"/>
      <c r="C146" s="73"/>
    </row>
    <row r="147" spans="1:5" s="17" customFormat="1" outlineLevel="1">
      <c r="A147" s="22">
        <v>3</v>
      </c>
      <c r="B147" s="17" t="s">
        <v>135</v>
      </c>
      <c r="C147" s="73"/>
      <c r="D147" s="19" t="s">
        <v>136</v>
      </c>
    </row>
    <row r="148" spans="1:5" s="17" customFormat="1" outlineLevel="1">
      <c r="A148" s="22"/>
      <c r="B148" s="29" t="s">
        <v>138</v>
      </c>
      <c r="C148" s="73"/>
      <c r="D148" s="17" t="s">
        <v>115</v>
      </c>
      <c r="E148" s="17" t="s">
        <v>116</v>
      </c>
    </row>
    <row r="149" spans="1:5" s="17" customFormat="1" outlineLevel="1">
      <c r="A149" s="22"/>
      <c r="B149" s="17" t="s">
        <v>142</v>
      </c>
      <c r="C149" s="73"/>
      <c r="D149" s="17" t="s">
        <v>111</v>
      </c>
      <c r="E149" s="17" t="s">
        <v>112</v>
      </c>
    </row>
    <row r="150" spans="1:5" s="17" customFormat="1" outlineLevel="1">
      <c r="A150" s="22"/>
      <c r="C150" s="73"/>
    </row>
    <row r="151" spans="1:5" s="17" customFormat="1" outlineLevel="1">
      <c r="A151" s="22"/>
      <c r="C151" s="73"/>
    </row>
    <row r="152" spans="1:5" s="17" customFormat="1" outlineLevel="1">
      <c r="A152" s="22">
        <v>4</v>
      </c>
      <c r="B152" s="17" t="s">
        <v>117</v>
      </c>
      <c r="C152" s="73" t="s">
        <v>83</v>
      </c>
      <c r="D152" s="17" t="s">
        <v>129</v>
      </c>
    </row>
    <row r="153" spans="1:5" s="17" customFormat="1" outlineLevel="1">
      <c r="A153" s="22"/>
      <c r="C153" s="73"/>
    </row>
    <row r="154" spans="1:5" s="17" customFormat="1" outlineLevel="1">
      <c r="A154" s="22">
        <v>5</v>
      </c>
      <c r="B154" s="17" t="s">
        <v>127</v>
      </c>
      <c r="C154" s="73" t="s">
        <v>60</v>
      </c>
      <c r="D154" s="20" t="s">
        <v>105</v>
      </c>
    </row>
    <row r="155" spans="1:5" s="17" customFormat="1" outlineLevel="1">
      <c r="A155" s="22"/>
      <c r="B155" s="17" t="s">
        <v>124</v>
      </c>
      <c r="C155" s="73"/>
      <c r="D155" s="17" t="s">
        <v>113</v>
      </c>
      <c r="E155" s="17" t="s">
        <v>107</v>
      </c>
    </row>
    <row r="156" spans="1:5" s="17" customFormat="1" outlineLevel="1">
      <c r="A156" s="22"/>
      <c r="B156" s="17" t="s">
        <v>125</v>
      </c>
      <c r="C156" s="73"/>
      <c r="D156" s="17" t="s">
        <v>111</v>
      </c>
      <c r="E156" s="17" t="s">
        <v>114</v>
      </c>
    </row>
    <row r="157" spans="1:5" s="17" customFormat="1" outlineLevel="1">
      <c r="A157" s="22"/>
      <c r="C157" s="73"/>
    </row>
    <row r="158" spans="1:5" s="17" customFormat="1" outlineLevel="1">
      <c r="A158" s="22">
        <v>6</v>
      </c>
      <c r="B158" s="17" t="s">
        <v>122</v>
      </c>
      <c r="C158" s="73" t="s">
        <v>122</v>
      </c>
      <c r="D158" s="17" t="s">
        <v>25</v>
      </c>
    </row>
    <row r="159" spans="1:5" s="17" customFormat="1" outlineLevel="1">
      <c r="A159" s="22"/>
      <c r="B159" s="17" t="s">
        <v>123</v>
      </c>
      <c r="C159" s="73"/>
    </row>
    <row r="160" spans="1:5" s="17" customFormat="1" outlineLevel="1">
      <c r="A160" s="22"/>
      <c r="C160" s="73"/>
    </row>
    <row r="161" spans="1:5" s="17" customFormat="1" outlineLevel="1">
      <c r="A161" s="22">
        <v>7</v>
      </c>
      <c r="B161" s="17" t="s">
        <v>108</v>
      </c>
      <c r="C161" s="73" t="s">
        <v>56</v>
      </c>
      <c r="D161" s="20" t="s">
        <v>103</v>
      </c>
    </row>
    <row r="162" spans="1:5" s="17" customFormat="1" outlineLevel="1">
      <c r="A162" s="22"/>
      <c r="C162" s="73"/>
    </row>
    <row r="163" spans="1:5" s="17" customFormat="1" outlineLevel="1">
      <c r="A163" s="22">
        <v>8</v>
      </c>
      <c r="B163" s="17" t="s">
        <v>119</v>
      </c>
      <c r="C163" s="73" t="s">
        <v>119</v>
      </c>
      <c r="D163" s="21" t="s">
        <v>120</v>
      </c>
    </row>
    <row r="164" spans="1:5" s="17" customFormat="1" outlineLevel="1">
      <c r="A164" s="22"/>
      <c r="B164" s="17" t="s">
        <v>121</v>
      </c>
      <c r="C164" s="73"/>
    </row>
    <row r="165" spans="1:5" s="17" customFormat="1" outlineLevel="1">
      <c r="A165" s="22"/>
      <c r="B165" s="17" t="s">
        <v>128</v>
      </c>
      <c r="C165" s="73"/>
    </row>
    <row r="166" spans="1:5" s="17" customFormat="1" outlineLevel="1">
      <c r="A166" s="22"/>
      <c r="C166" s="73"/>
    </row>
    <row r="167" spans="1:5" s="17" customFormat="1" outlineLevel="1">
      <c r="A167" s="22">
        <v>9</v>
      </c>
      <c r="B167" s="17" t="s">
        <v>193</v>
      </c>
      <c r="C167" s="73"/>
      <c r="D167" s="19" t="s">
        <v>195</v>
      </c>
    </row>
    <row r="168" spans="1:5" s="17" customFormat="1" outlineLevel="1">
      <c r="A168" s="22"/>
      <c r="B168" s="29" t="s">
        <v>194</v>
      </c>
      <c r="C168" s="73"/>
      <c r="D168" s="17" t="s">
        <v>115</v>
      </c>
      <c r="E168" s="17" t="s">
        <v>116</v>
      </c>
    </row>
    <row r="169" spans="1:5" s="17" customFormat="1" outlineLevel="1">
      <c r="A169" s="22"/>
      <c r="C169" s="73"/>
      <c r="D169" s="17" t="s">
        <v>111</v>
      </c>
      <c r="E169" s="17" t="s">
        <v>112</v>
      </c>
    </row>
    <row r="170" spans="1:5" s="17" customFormat="1" outlineLevel="1">
      <c r="A170" s="22"/>
      <c r="C170" s="73"/>
    </row>
    <row r="171" spans="1:5" s="17" customFormat="1" outlineLevel="1">
      <c r="A171" s="22">
        <v>10</v>
      </c>
      <c r="B171" s="158" t="s">
        <v>520</v>
      </c>
      <c r="C171" s="73"/>
      <c r="D171" s="19" t="s">
        <v>521</v>
      </c>
    </row>
    <row r="172" spans="1:5" s="17" customFormat="1" outlineLevel="1">
      <c r="A172" s="22"/>
      <c r="B172" s="158" t="s">
        <v>519</v>
      </c>
      <c r="C172" s="73"/>
      <c r="D172" s="17" t="s">
        <v>115</v>
      </c>
      <c r="E172" s="17" t="s">
        <v>116</v>
      </c>
    </row>
    <row r="173" spans="1:5" s="17" customFormat="1" outlineLevel="1">
      <c r="A173" s="22"/>
      <c r="B173" s="158"/>
      <c r="C173" s="73"/>
      <c r="D173" s="17" t="s">
        <v>111</v>
      </c>
      <c r="E173" s="17" t="s">
        <v>112</v>
      </c>
    </row>
    <row r="174" spans="1:5" s="17" customFormat="1" outlineLevel="1">
      <c r="A174" s="22"/>
      <c r="C174" s="73"/>
    </row>
    <row r="175" spans="1:5" s="17" customFormat="1" outlineLevel="1">
      <c r="A175" s="22">
        <v>11</v>
      </c>
      <c r="B175" s="29" t="s">
        <v>504</v>
      </c>
      <c r="C175" s="73"/>
      <c r="D175" s="19" t="s">
        <v>505</v>
      </c>
    </row>
    <row r="176" spans="1:5" outlineLevel="1"/>
    <row r="177" spans="1:7" outlineLevel="1">
      <c r="A177">
        <v>12</v>
      </c>
      <c r="D177" s="19" t="s">
        <v>506</v>
      </c>
      <c r="G177" s="159" t="s">
        <v>507</v>
      </c>
    </row>
    <row r="178" spans="1:7" outlineLevel="1"/>
    <row r="179" spans="1:7" outlineLevel="1">
      <c r="A179" t="s">
        <v>263</v>
      </c>
    </row>
    <row r="180" spans="1:7" outlineLevel="1">
      <c r="A180" t="s">
        <v>227</v>
      </c>
      <c r="C180" s="73"/>
    </row>
    <row r="181" spans="1:7" outlineLevel="1">
      <c r="A181" t="s">
        <v>228</v>
      </c>
      <c r="C181" s="73"/>
      <c r="E181" s="20" t="s">
        <v>229</v>
      </c>
    </row>
    <row r="182" spans="1:7" outlineLevel="1">
      <c r="C182" s="73"/>
      <c r="E182" s="20"/>
    </row>
    <row r="183" spans="1:7" outlineLevel="1">
      <c r="A183" t="s">
        <v>230</v>
      </c>
      <c r="C183" s="73"/>
    </row>
    <row r="184" spans="1:7" outlineLevel="1">
      <c r="A184" t="s">
        <v>231</v>
      </c>
      <c r="C184" s="73"/>
    </row>
    <row r="185" spans="1:7" outlineLevel="1">
      <c r="A185" t="s">
        <v>232</v>
      </c>
      <c r="C185" s="73"/>
    </row>
    <row r="186" spans="1:7" outlineLevel="1">
      <c r="A186" t="s">
        <v>233</v>
      </c>
      <c r="C186" s="73"/>
    </row>
    <row r="187" spans="1:7" outlineLevel="1">
      <c r="A187" t="s">
        <v>234</v>
      </c>
      <c r="C187" s="73"/>
    </row>
    <row r="188" spans="1:7" outlineLevel="1">
      <c r="A188" t="s">
        <v>235</v>
      </c>
      <c r="C188" s="73"/>
    </row>
    <row r="189" spans="1:7" outlineLevel="1">
      <c r="A189" t="s">
        <v>236</v>
      </c>
      <c r="C189" s="73"/>
    </row>
    <row r="190" spans="1:7" outlineLevel="1">
      <c r="A190" t="s">
        <v>237</v>
      </c>
      <c r="C190" s="73"/>
    </row>
    <row r="191" spans="1:7" outlineLevel="1">
      <c r="A191" t="s">
        <v>238</v>
      </c>
      <c r="C191" s="73"/>
    </row>
    <row r="192" spans="1:7" outlineLevel="1">
      <c r="A192" t="s">
        <v>239</v>
      </c>
      <c r="C192" s="73"/>
    </row>
    <row r="193" spans="1:3" outlineLevel="1">
      <c r="A193" t="s">
        <v>240</v>
      </c>
      <c r="C193" s="73"/>
    </row>
    <row r="194" spans="1:3" outlineLevel="1">
      <c r="A194" t="s">
        <v>241</v>
      </c>
      <c r="C194" s="73"/>
    </row>
    <row r="195" spans="1:3" outlineLevel="1">
      <c r="A195" t="s">
        <v>242</v>
      </c>
      <c r="C195" s="73"/>
    </row>
    <row r="196" spans="1:3" outlineLevel="1">
      <c r="A196" t="s">
        <v>243</v>
      </c>
      <c r="C196" s="73"/>
    </row>
    <row r="197" spans="1:3" outlineLevel="1">
      <c r="A197" t="s">
        <v>244</v>
      </c>
      <c r="C197" s="73"/>
    </row>
    <row r="198" spans="1:3" outlineLevel="1">
      <c r="A198" t="s">
        <v>245</v>
      </c>
      <c r="C198" s="73"/>
    </row>
    <row r="199" spans="1:3" outlineLevel="1">
      <c r="A199" t="s">
        <v>246</v>
      </c>
      <c r="C199" s="73"/>
    </row>
    <row r="200" spans="1:3" outlineLevel="1">
      <c r="A200" t="s">
        <v>247</v>
      </c>
      <c r="C200" s="73"/>
    </row>
    <row r="201" spans="1:3" outlineLevel="1">
      <c r="A201" t="s">
        <v>248</v>
      </c>
      <c r="C201" s="73"/>
    </row>
    <row r="202" spans="1:3" outlineLevel="1">
      <c r="A202" t="s">
        <v>249</v>
      </c>
      <c r="C202" s="73"/>
    </row>
    <row r="203" spans="1:3" outlineLevel="1">
      <c r="A203" t="s">
        <v>250</v>
      </c>
      <c r="C203" s="73"/>
    </row>
    <row r="204" spans="1:3" outlineLevel="1">
      <c r="A204" t="s">
        <v>251</v>
      </c>
      <c r="C204" s="73"/>
    </row>
    <row r="205" spans="1:3" outlineLevel="1">
      <c r="A205" t="s">
        <v>252</v>
      </c>
      <c r="C205" s="73"/>
    </row>
    <row r="206" spans="1:3" outlineLevel="1">
      <c r="A206" t="s">
        <v>253</v>
      </c>
      <c r="C206" s="73"/>
    </row>
    <row r="207" spans="1:3" outlineLevel="1">
      <c r="A207" t="s">
        <v>254</v>
      </c>
      <c r="C207" s="73"/>
    </row>
    <row r="208" spans="1:3" outlineLevel="1">
      <c r="A208" t="s">
        <v>255</v>
      </c>
      <c r="C208" s="73"/>
    </row>
    <row r="209" spans="1:3" outlineLevel="1">
      <c r="A209" t="s">
        <v>256</v>
      </c>
      <c r="C209" s="73"/>
    </row>
    <row r="210" spans="1:3" outlineLevel="1">
      <c r="A210" t="s">
        <v>257</v>
      </c>
      <c r="C210" s="73"/>
    </row>
    <row r="211" spans="1:3" outlineLevel="1">
      <c r="A211" t="s">
        <v>258</v>
      </c>
      <c r="C211" s="73"/>
    </row>
    <row r="212" spans="1:3" outlineLevel="1">
      <c r="A212" t="s">
        <v>259</v>
      </c>
      <c r="C212" s="73"/>
    </row>
    <row r="213" spans="1:3" outlineLevel="1">
      <c r="A213" t="s">
        <v>260</v>
      </c>
      <c r="C213" s="73"/>
    </row>
    <row r="214" spans="1:3" outlineLevel="1">
      <c r="A214" t="s">
        <v>261</v>
      </c>
      <c r="C214" s="73"/>
    </row>
    <row r="215" spans="1:3" outlineLevel="1">
      <c r="A215" t="s">
        <v>262</v>
      </c>
      <c r="C215" s="73"/>
    </row>
    <row r="216" spans="1:3" outlineLevel="1">
      <c r="C216" s="73"/>
    </row>
    <row r="217" spans="1:3" outlineLevel="1"/>
  </sheetData>
  <autoFilter ref="E6:H6"/>
  <sortState ref="A7:BD42">
    <sortCondition ref="E6"/>
  </sortState>
  <dataConsolidate/>
  <phoneticPr fontId="11" type="noConversion"/>
  <dataValidations count="1">
    <dataValidation type="list" allowBlank="1" showInputMessage="1" showErrorMessage="1" sqref="F4">
      <formula1>End</formula1>
    </dataValidation>
  </dataValidations>
  <hyperlinks>
    <hyperlink ref="C11" r:id="rId1"/>
    <hyperlink ref="C44" r:id="rId2"/>
    <hyperlink ref="C41" r:id="rId3"/>
    <hyperlink ref="C49" r:id="rId4"/>
    <hyperlink ref="C9:C12" r:id="rId5" display="http://lil93nt/en/jobs/purchasing/common_data/Material_rates/Followup_Alu_Nickel_Copper_dollar_EN.xlsx"/>
    <hyperlink ref="C21" r:id="rId6"/>
    <hyperlink ref="C14" r:id="rId7"/>
    <hyperlink ref="C36" r:id="rId8"/>
    <hyperlink ref="C48" r:id="rId9"/>
    <hyperlink ref="C50" r:id="rId10"/>
    <hyperlink ref="C37" r:id="rId11"/>
    <hyperlink ref="C24" r:id="rId12"/>
    <hyperlink ref="C51" r:id="rId13" location="####"/>
    <hyperlink ref="D161" r:id="rId14"/>
    <hyperlink ref="D143" r:id="rId15"/>
    <hyperlink ref="D154" r:id="rId16" display="http://www.nhh.com.hk/"/>
    <hyperlink ref="D139" r:id="rId17"/>
    <hyperlink ref="D163" r:id="rId18"/>
    <hyperlink ref="D147" r:id="rId19"/>
    <hyperlink ref="D167" r:id="rId20"/>
    <hyperlink ref="C19" r:id="rId21"/>
    <hyperlink ref="C7" r:id="rId22"/>
    <hyperlink ref="E181" r:id="rId23"/>
    <hyperlink ref="C26" r:id="rId24"/>
    <hyperlink ref="C28" r:id="rId25"/>
    <hyperlink ref="C31" r:id="rId26"/>
    <hyperlink ref="C29:C30" r:id="rId27" display="www.bxgtd.com"/>
    <hyperlink ref="C16" r:id="rId28"/>
    <hyperlink ref="C18" r:id="rId29"/>
    <hyperlink ref="C23" r:id="rId30"/>
    <hyperlink ref="C52" r:id="rId31"/>
    <hyperlink ref="C45" r:id="rId32"/>
    <hyperlink ref="D175" r:id="rId33"/>
    <hyperlink ref="D177" r:id="rId34"/>
    <hyperlink ref="C17" r:id="rId35"/>
    <hyperlink ref="C76" r:id="rId36"/>
    <hyperlink ref="D171" r:id="rId37"/>
    <hyperlink ref="C35" r:id="rId38"/>
    <hyperlink ref="C33" r:id="rId39"/>
    <hyperlink ref="C39" r:id="rId40"/>
    <hyperlink ref="C34" r:id="rId41"/>
    <hyperlink ref="C29" r:id="rId42"/>
    <hyperlink ref="C30" r:id="rId43"/>
    <hyperlink ref="C9" r:id="rId44"/>
    <hyperlink ref="C12" r:id="rId45"/>
    <hyperlink ref="C38" r:id="rId46"/>
    <hyperlink ref="C42" r:id="rId47"/>
    <hyperlink ref="C43" r:id="rId48"/>
    <hyperlink ref="C46" r:id="rId49"/>
    <hyperlink ref="C47" r:id="rId50"/>
    <hyperlink ref="C53" r:id="rId51"/>
  </hyperlinks>
  <pageMargins left="0.28999999999999998" right="0.18" top="0.23" bottom="0.17" header="0.3" footer="0.3"/>
  <pageSetup scale="80" orientation="landscape" r:id="rId52"/>
  <legacyDrawing r:id="rId53"/>
</worksheet>
</file>

<file path=xl/worksheets/sheet2.xml><?xml version="1.0" encoding="utf-8"?>
<worksheet xmlns="http://schemas.openxmlformats.org/spreadsheetml/2006/main" xmlns:r="http://schemas.openxmlformats.org/officeDocument/2006/relationships">
  <sheetPr>
    <pageSetUpPr fitToPage="1"/>
  </sheetPr>
  <dimension ref="A1:Y41"/>
  <sheetViews>
    <sheetView showGridLines="0" zoomScale="70" zoomScaleNormal="70" workbookViewId="0">
      <selection activeCell="G21" sqref="G21:J21"/>
    </sheetView>
  </sheetViews>
  <sheetFormatPr defaultColWidth="9.140625" defaultRowHeight="12.75"/>
  <cols>
    <col min="1" max="1" width="3.28515625" style="77" customWidth="1"/>
    <col min="2" max="2" width="18" style="77" customWidth="1"/>
    <col min="3" max="3" width="9.85546875" style="77" customWidth="1"/>
    <col min="4" max="4" width="21" style="77" customWidth="1"/>
    <col min="5" max="5" width="12.140625" style="77" customWidth="1"/>
    <col min="6" max="6" width="1.140625" style="77" customWidth="1"/>
    <col min="7" max="7" width="9.28515625" style="77" customWidth="1"/>
    <col min="8" max="10" width="10" style="77" customWidth="1"/>
    <col min="11" max="11" width="1.140625" style="77" customWidth="1"/>
    <col min="12" max="15" width="10" style="77" customWidth="1"/>
    <col min="16" max="16" width="1.140625" style="77" customWidth="1"/>
    <col min="17" max="20" width="10" style="77" customWidth="1"/>
    <col min="21" max="21" width="1.140625" style="77" customWidth="1"/>
    <col min="22" max="25" width="10" style="77" customWidth="1"/>
    <col min="26" max="16384" width="9.140625" style="77"/>
  </cols>
  <sheetData>
    <row r="1" spans="1:25" ht="47.25" customHeight="1">
      <c r="A1" s="75"/>
      <c r="B1" s="76"/>
      <c r="C1" s="174" t="s">
        <v>264</v>
      </c>
      <c r="D1" s="175"/>
      <c r="E1" s="175"/>
      <c r="F1" s="175"/>
      <c r="G1" s="175"/>
      <c r="H1" s="175"/>
      <c r="I1" s="175"/>
      <c r="J1" s="175"/>
      <c r="K1" s="175"/>
      <c r="L1" s="175"/>
      <c r="M1" s="175"/>
      <c r="N1" s="175"/>
      <c r="O1" s="175"/>
      <c r="P1" s="175"/>
      <c r="Q1" s="175"/>
      <c r="R1" s="175"/>
      <c r="S1" s="175"/>
      <c r="T1" s="175"/>
      <c r="U1" s="176"/>
      <c r="V1" s="119"/>
      <c r="W1" s="120"/>
      <c r="X1" s="120"/>
      <c r="Y1" s="121"/>
    </row>
    <row r="2" spans="1:25" ht="24.75" customHeight="1">
      <c r="A2" s="78"/>
      <c r="B2" s="79"/>
      <c r="C2" s="177" t="s">
        <v>265</v>
      </c>
      <c r="D2" s="178"/>
      <c r="E2" s="178"/>
      <c r="F2" s="178"/>
      <c r="G2" s="178"/>
      <c r="H2" s="178"/>
      <c r="I2" s="178"/>
      <c r="J2" s="178"/>
      <c r="K2" s="178"/>
      <c r="L2" s="178"/>
      <c r="M2" s="178"/>
      <c r="N2" s="178"/>
      <c r="O2" s="178"/>
      <c r="P2" s="178"/>
      <c r="Q2" s="178"/>
      <c r="R2" s="178"/>
      <c r="S2" s="178"/>
      <c r="T2" s="178"/>
      <c r="U2" s="179"/>
      <c r="V2" s="122" t="s">
        <v>457</v>
      </c>
      <c r="W2" s="183"/>
      <c r="X2" s="183"/>
      <c r="Y2" s="184"/>
    </row>
    <row r="3" spans="1:25" ht="24.75" customHeight="1">
      <c r="A3" s="80"/>
      <c r="B3" s="81"/>
      <c r="C3" s="180" t="s">
        <v>266</v>
      </c>
      <c r="D3" s="181"/>
      <c r="E3" s="181"/>
      <c r="F3" s="181"/>
      <c r="G3" s="181"/>
      <c r="H3" s="181"/>
      <c r="I3" s="181"/>
      <c r="J3" s="181"/>
      <c r="K3" s="181"/>
      <c r="L3" s="181"/>
      <c r="M3" s="181"/>
      <c r="N3" s="181"/>
      <c r="O3" s="181"/>
      <c r="P3" s="181"/>
      <c r="Q3" s="181"/>
      <c r="R3" s="181"/>
      <c r="S3" s="181"/>
      <c r="T3" s="181"/>
      <c r="U3" s="182"/>
      <c r="V3" s="123" t="s">
        <v>270</v>
      </c>
      <c r="W3" s="189"/>
      <c r="X3" s="190"/>
      <c r="Y3" s="191"/>
    </row>
    <row r="4" spans="1:25" ht="18.75" customHeight="1">
      <c r="A4" s="82"/>
      <c r="B4" s="82"/>
      <c r="C4" s="82"/>
      <c r="D4" s="82"/>
      <c r="E4" s="82"/>
      <c r="F4" s="82"/>
      <c r="G4" s="82"/>
      <c r="H4" s="82"/>
      <c r="I4" s="82"/>
      <c r="J4" s="82"/>
      <c r="K4" s="82"/>
      <c r="L4" s="82"/>
      <c r="M4" s="82"/>
      <c r="N4" s="82"/>
      <c r="O4" s="82"/>
      <c r="P4" s="82"/>
      <c r="Q4" s="82"/>
      <c r="R4" s="82"/>
      <c r="S4" s="82"/>
      <c r="T4" s="82"/>
      <c r="U4" s="82"/>
      <c r="V4" s="82"/>
      <c r="W4" s="82"/>
      <c r="X4" s="82"/>
      <c r="Y4" s="82"/>
    </row>
    <row r="5" spans="1:25" s="85" customFormat="1" ht="18.75" customHeight="1">
      <c r="A5" s="83"/>
      <c r="B5" s="84" t="s">
        <v>267</v>
      </c>
      <c r="G5" s="188" t="s">
        <v>268</v>
      </c>
      <c r="H5" s="188"/>
      <c r="I5" s="188"/>
      <c r="J5" s="188"/>
      <c r="K5" s="86"/>
      <c r="L5" s="188" t="s">
        <v>269</v>
      </c>
      <c r="M5" s="188"/>
      <c r="N5" s="188"/>
      <c r="O5" s="188"/>
      <c r="P5" s="86"/>
      <c r="Q5" s="86"/>
      <c r="R5" s="86"/>
      <c r="S5" s="86"/>
      <c r="T5" s="86"/>
      <c r="U5" s="86"/>
      <c r="V5" s="185" t="str">
        <f>CONCATENATE(TEXT('Material index'!F4,"mmm-yy")," RMB Exchange Rate")</f>
        <v>Jan-10 RMB Exchange Rate</v>
      </c>
      <c r="W5" s="186"/>
      <c r="X5" s="186"/>
      <c r="Y5" s="187"/>
    </row>
    <row r="6" spans="1:25" ht="18.75" customHeight="1">
      <c r="A6" s="87"/>
      <c r="B6" s="84" t="s">
        <v>271</v>
      </c>
      <c r="G6" s="202"/>
      <c r="H6" s="202"/>
      <c r="I6" s="202"/>
      <c r="J6" s="202"/>
      <c r="K6" s="131"/>
      <c r="L6" s="202"/>
      <c r="M6" s="202"/>
      <c r="N6" s="202"/>
      <c r="O6" s="202"/>
      <c r="P6" s="86"/>
      <c r="Q6" s="86"/>
      <c r="R6" s="86"/>
      <c r="S6" s="86"/>
      <c r="T6" s="86"/>
      <c r="U6" s="86"/>
      <c r="V6" s="192">
        <f>HLOOKUP('Material index'!F4,'Material index'!$I$6:$BE$7,2,FALSE)</f>
        <v>6.83467</v>
      </c>
      <c r="W6" s="192"/>
      <c r="X6" s="192"/>
      <c r="Y6" s="192"/>
    </row>
    <row r="7" spans="1:25" ht="18.75" customHeight="1">
      <c r="A7" s="126"/>
      <c r="B7" s="84" t="s">
        <v>272</v>
      </c>
      <c r="C7" s="82"/>
      <c r="D7" s="82"/>
      <c r="E7" s="82"/>
      <c r="F7" s="82"/>
      <c r="G7" s="82"/>
      <c r="H7" s="82"/>
      <c r="I7" s="82"/>
      <c r="J7" s="82"/>
      <c r="K7" s="82"/>
      <c r="L7" s="82"/>
      <c r="M7" s="82"/>
      <c r="N7" s="82"/>
      <c r="O7" s="82"/>
      <c r="P7" s="82"/>
      <c r="Q7" s="82"/>
      <c r="R7" s="82"/>
      <c r="S7" s="82"/>
      <c r="T7" s="82"/>
      <c r="U7" s="82"/>
      <c r="V7" s="82"/>
      <c r="W7" s="82"/>
      <c r="X7" s="82"/>
      <c r="Y7" s="82"/>
    </row>
    <row r="8" spans="1:25" ht="18" customHeight="1">
      <c r="A8" s="88"/>
      <c r="B8" s="89"/>
      <c r="C8" s="82"/>
      <c r="D8" s="82"/>
      <c r="E8" s="82"/>
      <c r="F8" s="82"/>
      <c r="G8" s="82"/>
      <c r="H8" s="82"/>
      <c r="I8" s="82"/>
      <c r="J8" s="82"/>
      <c r="K8" s="82"/>
      <c r="L8" s="82"/>
      <c r="M8" s="82"/>
      <c r="N8" s="82"/>
      <c r="O8" s="82"/>
      <c r="P8" s="82"/>
      <c r="Q8" s="82"/>
      <c r="R8" s="82"/>
      <c r="S8" s="82"/>
      <c r="T8" s="82"/>
      <c r="U8" s="82"/>
      <c r="V8" s="82"/>
      <c r="W8" s="82"/>
      <c r="X8" s="82"/>
      <c r="Y8" s="82"/>
    </row>
    <row r="9" spans="1:25" ht="18" customHeight="1">
      <c r="A9" s="90"/>
      <c r="B9" s="89"/>
      <c r="C9" s="79"/>
      <c r="D9" s="79"/>
      <c r="E9" s="79"/>
      <c r="F9" s="91"/>
      <c r="G9" s="188" t="s">
        <v>273</v>
      </c>
      <c r="H9" s="188"/>
      <c r="I9" s="188"/>
      <c r="J9" s="188"/>
      <c r="K9" s="91"/>
      <c r="L9" s="188" t="s">
        <v>274</v>
      </c>
      <c r="M9" s="188"/>
      <c r="N9" s="188"/>
      <c r="O9" s="188"/>
      <c r="P9" s="91"/>
      <c r="Q9" s="188" t="s">
        <v>275</v>
      </c>
      <c r="R9" s="188"/>
      <c r="S9" s="188"/>
      <c r="T9" s="188"/>
      <c r="U9" s="91"/>
      <c r="V9" s="188" t="s">
        <v>276</v>
      </c>
      <c r="W9" s="188"/>
      <c r="X9" s="188"/>
      <c r="Y9" s="188"/>
    </row>
    <row r="10" spans="1:25" ht="6" customHeight="1">
      <c r="A10" s="130"/>
      <c r="B10" s="128"/>
      <c r="C10" s="128"/>
      <c r="D10" s="128"/>
      <c r="E10" s="128"/>
      <c r="F10" s="79"/>
      <c r="G10" s="94"/>
      <c r="H10" s="94"/>
      <c r="I10" s="94"/>
      <c r="J10" s="94"/>
      <c r="K10" s="79"/>
      <c r="L10" s="94"/>
      <c r="M10" s="94"/>
      <c r="N10" s="94"/>
      <c r="O10" s="94"/>
      <c r="P10" s="79"/>
      <c r="Q10" s="94"/>
      <c r="R10" s="94"/>
      <c r="S10" s="94"/>
      <c r="T10" s="94"/>
      <c r="U10" s="79"/>
      <c r="V10" s="94"/>
      <c r="W10" s="94"/>
      <c r="X10" s="94"/>
      <c r="Y10" s="94"/>
    </row>
    <row r="11" spans="1:25" s="85" customFormat="1" ht="18.75" customHeight="1">
      <c r="A11" s="199" t="s">
        <v>277</v>
      </c>
      <c r="B11" s="200"/>
      <c r="C11" s="200"/>
      <c r="D11" s="200"/>
      <c r="E11" s="201"/>
      <c r="F11" s="95"/>
      <c r="G11" s="204"/>
      <c r="H11" s="205"/>
      <c r="I11" s="205"/>
      <c r="J11" s="205"/>
      <c r="K11" s="145"/>
      <c r="L11" s="205"/>
      <c r="M11" s="205"/>
      <c r="N11" s="205"/>
      <c r="O11" s="205"/>
      <c r="P11" s="145"/>
      <c r="Q11" s="205"/>
      <c r="R11" s="205"/>
      <c r="S11" s="205"/>
      <c r="T11" s="205"/>
      <c r="U11" s="145"/>
      <c r="V11" s="205"/>
      <c r="W11" s="205"/>
      <c r="X11" s="205"/>
      <c r="Y11" s="205"/>
    </row>
    <row r="12" spans="1:25" s="85" customFormat="1" ht="18.75" customHeight="1">
      <c r="A12" s="199" t="s">
        <v>448</v>
      </c>
      <c r="B12" s="200"/>
      <c r="C12" s="200"/>
      <c r="D12" s="200"/>
      <c r="E12" s="201"/>
      <c r="F12" s="95"/>
      <c r="G12" s="202"/>
      <c r="H12" s="202"/>
      <c r="I12" s="202"/>
      <c r="J12" s="202"/>
      <c r="K12" s="145"/>
      <c r="L12" s="202"/>
      <c r="M12" s="202"/>
      <c r="N12" s="202"/>
      <c r="O12" s="202"/>
      <c r="P12" s="145"/>
      <c r="Q12" s="202"/>
      <c r="R12" s="202"/>
      <c r="S12" s="202"/>
      <c r="T12" s="202"/>
      <c r="U12" s="145"/>
      <c r="V12" s="202"/>
      <c r="W12" s="202"/>
      <c r="X12" s="202"/>
      <c r="Y12" s="202"/>
    </row>
    <row r="13" spans="1:25" s="85" customFormat="1" ht="18.75" customHeight="1">
      <c r="A13" s="199" t="s">
        <v>278</v>
      </c>
      <c r="B13" s="200"/>
      <c r="C13" s="200"/>
      <c r="D13" s="200"/>
      <c r="E13" s="201"/>
      <c r="F13" s="95"/>
      <c r="G13" s="203"/>
      <c r="H13" s="203"/>
      <c r="I13" s="203"/>
      <c r="J13" s="203"/>
      <c r="K13" s="145"/>
      <c r="L13" s="203"/>
      <c r="M13" s="203"/>
      <c r="N13" s="203"/>
      <c r="O13" s="203"/>
      <c r="P13" s="145"/>
      <c r="Q13" s="203"/>
      <c r="R13" s="203"/>
      <c r="S13" s="203"/>
      <c r="T13" s="203"/>
      <c r="U13" s="145"/>
      <c r="V13" s="203"/>
      <c r="W13" s="203"/>
      <c r="X13" s="203"/>
      <c r="Y13" s="203"/>
    </row>
    <row r="14" spans="1:25" s="85" customFormat="1" ht="18.75" customHeight="1">
      <c r="A14" s="199" t="s">
        <v>280</v>
      </c>
      <c r="B14" s="200"/>
      <c r="C14" s="200"/>
      <c r="D14" s="200"/>
      <c r="E14" s="201"/>
      <c r="F14" s="95"/>
      <c r="G14" s="206"/>
      <c r="H14" s="207"/>
      <c r="I14" s="207"/>
      <c r="J14" s="208"/>
      <c r="K14" s="134"/>
      <c r="L14" s="206"/>
      <c r="M14" s="207"/>
      <c r="N14" s="207"/>
      <c r="O14" s="208"/>
      <c r="P14" s="134"/>
      <c r="Q14" s="206"/>
      <c r="R14" s="207"/>
      <c r="S14" s="207"/>
      <c r="T14" s="208"/>
      <c r="U14" s="134"/>
      <c r="V14" s="206"/>
      <c r="W14" s="207"/>
      <c r="X14" s="207"/>
      <c r="Y14" s="208"/>
    </row>
    <row r="15" spans="1:25" ht="90" customHeight="1">
      <c r="A15" s="199" t="s">
        <v>279</v>
      </c>
      <c r="B15" s="200"/>
      <c r="C15" s="200"/>
      <c r="D15" s="200"/>
      <c r="E15" s="201"/>
      <c r="F15" s="96"/>
      <c r="G15" s="209"/>
      <c r="H15" s="210"/>
      <c r="I15" s="210"/>
      <c r="J15" s="211"/>
      <c r="K15" s="148"/>
      <c r="L15" s="209"/>
      <c r="M15" s="210"/>
      <c r="N15" s="210"/>
      <c r="O15" s="211"/>
      <c r="P15" s="148"/>
      <c r="Q15" s="209"/>
      <c r="R15" s="210"/>
      <c r="S15" s="210"/>
      <c r="T15" s="211"/>
      <c r="U15" s="148"/>
      <c r="V15" s="209"/>
      <c r="W15" s="210"/>
      <c r="X15" s="210"/>
      <c r="Y15" s="211"/>
    </row>
    <row r="16" spans="1:25" ht="18" customHeight="1">
      <c r="A16" s="130"/>
      <c r="B16" s="128"/>
      <c r="C16" s="128"/>
      <c r="D16" s="128"/>
      <c r="E16" s="128"/>
      <c r="F16" s="79"/>
      <c r="G16" s="94"/>
      <c r="H16" s="94"/>
      <c r="I16" s="94"/>
      <c r="J16" s="94"/>
      <c r="K16" s="79"/>
      <c r="L16" s="94"/>
      <c r="M16" s="94"/>
      <c r="N16" s="94"/>
      <c r="O16" s="94"/>
      <c r="P16" s="79"/>
      <c r="Q16" s="94"/>
      <c r="R16" s="94"/>
      <c r="S16" s="94"/>
      <c r="T16" s="94"/>
      <c r="U16" s="79"/>
      <c r="V16" s="94"/>
      <c r="W16" s="94"/>
      <c r="X16" s="94"/>
      <c r="Y16" s="94"/>
    </row>
    <row r="17" spans="1:25" s="85" customFormat="1" ht="18" customHeight="1">
      <c r="A17" s="218"/>
      <c r="B17" s="219"/>
      <c r="C17" s="219"/>
      <c r="D17" s="220"/>
      <c r="E17" s="127"/>
      <c r="F17" s="101"/>
      <c r="G17" s="212" t="s">
        <v>281</v>
      </c>
      <c r="H17" s="213"/>
      <c r="I17" s="212" t="s">
        <v>282</v>
      </c>
      <c r="J17" s="213"/>
      <c r="K17" s="95"/>
      <c r="L17" s="212" t="s">
        <v>281</v>
      </c>
      <c r="M17" s="213"/>
      <c r="N17" s="212" t="s">
        <v>282</v>
      </c>
      <c r="O17" s="213"/>
      <c r="P17" s="95"/>
      <c r="Q17" s="212" t="s">
        <v>281</v>
      </c>
      <c r="R17" s="213"/>
      <c r="S17" s="212" t="s">
        <v>282</v>
      </c>
      <c r="T17" s="213"/>
      <c r="U17" s="95"/>
      <c r="V17" s="212" t="s">
        <v>281</v>
      </c>
      <c r="W17" s="213"/>
      <c r="X17" s="212" t="s">
        <v>282</v>
      </c>
      <c r="Y17" s="214"/>
    </row>
    <row r="18" spans="1:25" ht="6" customHeight="1">
      <c r="A18" s="92"/>
      <c r="B18" s="93"/>
      <c r="C18" s="93"/>
      <c r="D18" s="93"/>
      <c r="E18" s="128"/>
      <c r="F18" s="79"/>
      <c r="G18" s="94"/>
      <c r="H18" s="94"/>
      <c r="I18" s="94"/>
      <c r="J18" s="94"/>
      <c r="K18" s="79"/>
      <c r="L18" s="94"/>
      <c r="M18" s="94"/>
      <c r="N18" s="94"/>
      <c r="O18" s="94"/>
      <c r="P18" s="79"/>
      <c r="Q18" s="94"/>
      <c r="R18" s="94"/>
      <c r="S18" s="94"/>
      <c r="T18" s="94"/>
      <c r="U18" s="79"/>
      <c r="V18" s="94"/>
      <c r="W18" s="94"/>
      <c r="X18" s="94"/>
      <c r="Y18" s="94"/>
    </row>
    <row r="19" spans="1:25" s="85" customFormat="1" ht="18.75" customHeight="1">
      <c r="A19" s="193" t="s">
        <v>283</v>
      </c>
      <c r="B19" s="194"/>
      <c r="C19" s="102" t="s">
        <v>70</v>
      </c>
      <c r="D19" s="129"/>
      <c r="E19" s="103"/>
      <c r="F19" s="95"/>
      <c r="G19" s="215"/>
      <c r="H19" s="216"/>
      <c r="I19" s="215"/>
      <c r="J19" s="216"/>
      <c r="K19" s="133"/>
      <c r="L19" s="215"/>
      <c r="M19" s="216"/>
      <c r="N19" s="215"/>
      <c r="O19" s="216"/>
      <c r="P19" s="133"/>
      <c r="Q19" s="215"/>
      <c r="R19" s="216"/>
      <c r="S19" s="215"/>
      <c r="T19" s="216"/>
      <c r="U19" s="133"/>
      <c r="V19" s="215"/>
      <c r="W19" s="216"/>
      <c r="X19" s="215"/>
      <c r="Y19" s="217"/>
    </row>
    <row r="20" spans="1:25" s="85" customFormat="1" ht="18.75" customHeight="1">
      <c r="A20" s="195"/>
      <c r="B20" s="196"/>
      <c r="C20" s="102" t="s">
        <v>284</v>
      </c>
      <c r="D20" s="129"/>
      <c r="E20" s="103"/>
      <c r="F20" s="95"/>
      <c r="G20" s="206"/>
      <c r="H20" s="221"/>
      <c r="I20" s="206"/>
      <c r="J20" s="221"/>
      <c r="K20" s="134"/>
      <c r="L20" s="206"/>
      <c r="M20" s="221"/>
      <c r="N20" s="206"/>
      <c r="O20" s="221"/>
      <c r="P20" s="134"/>
      <c r="Q20" s="206"/>
      <c r="R20" s="221"/>
      <c r="S20" s="206"/>
      <c r="T20" s="221"/>
      <c r="U20" s="134"/>
      <c r="V20" s="206"/>
      <c r="W20" s="221"/>
      <c r="X20" s="206"/>
      <c r="Y20" s="222"/>
    </row>
    <row r="21" spans="1:25" s="85" customFormat="1" ht="18.75" customHeight="1">
      <c r="A21" s="195"/>
      <c r="B21" s="196"/>
      <c r="C21" s="102" t="s">
        <v>285</v>
      </c>
      <c r="D21" s="129"/>
      <c r="E21" s="103"/>
      <c r="F21" s="95"/>
      <c r="G21" s="223" t="str">
        <f>IF(ISERROR(I20/G20-1),"",I20/G20-1)</f>
        <v/>
      </c>
      <c r="H21" s="224"/>
      <c r="I21" s="224"/>
      <c r="J21" s="225"/>
      <c r="K21" s="132"/>
      <c r="L21" s="223" t="str">
        <f>IF(ISERROR(N20/L20-1),"",N20/L20-1)</f>
        <v/>
      </c>
      <c r="M21" s="224"/>
      <c r="N21" s="224"/>
      <c r="O21" s="225"/>
      <c r="P21" s="132"/>
      <c r="Q21" s="223" t="str">
        <f>IF(ISERROR(S20/Q20-1),"",S20/Q20-1)</f>
        <v/>
      </c>
      <c r="R21" s="224"/>
      <c r="S21" s="224"/>
      <c r="T21" s="225"/>
      <c r="U21" s="132"/>
      <c r="V21" s="223" t="str">
        <f>IF(ISERROR(X20/V20-1),"",X20/V20-1)</f>
        <v/>
      </c>
      <c r="W21" s="224"/>
      <c r="X21" s="224"/>
      <c r="Y21" s="225"/>
    </row>
    <row r="22" spans="1:25" s="85" customFormat="1" ht="18.75" customHeight="1">
      <c r="A22" s="195"/>
      <c r="B22" s="196"/>
      <c r="C22" s="102" t="s">
        <v>286</v>
      </c>
      <c r="D22" s="129"/>
      <c r="E22" s="103"/>
      <c r="F22" s="95"/>
      <c r="G22" s="226" t="str">
        <f>IF(ISERROR(HLOOKUP(G19,'Material index'!$I$6:$BE$7,2,FALSE)),"",HLOOKUP(G19,'Material index'!$I$6:$BE$7,2,FALSE))</f>
        <v/>
      </c>
      <c r="H22" s="227"/>
      <c r="I22" s="226" t="str">
        <f>IF(ISERROR(HLOOKUP(I19,'Material index'!$I$6:$BE$7,2,FALSE)),"",HLOOKUP(I19,'Material index'!$I$6:$BE$7,2,FALSE))</f>
        <v/>
      </c>
      <c r="J22" s="227"/>
      <c r="K22" s="147"/>
      <c r="L22" s="226" t="str">
        <f>IF(ISERROR(HLOOKUP(L19,'Material index'!$I$6:$BE$7,2,FALSE)),"",HLOOKUP(L19,'Material index'!$I$6:$BE$7,2,FALSE))</f>
        <v/>
      </c>
      <c r="M22" s="227"/>
      <c r="N22" s="226" t="str">
        <f>IF(ISERROR(HLOOKUP(N19,'Material index'!$I$6:$BE$7,2,FALSE)),"",HLOOKUP(N19,'Material index'!$I$6:$BE$7,2,FALSE))</f>
        <v/>
      </c>
      <c r="O22" s="227"/>
      <c r="P22" s="147"/>
      <c r="Q22" s="226" t="str">
        <f>IF(ISERROR(HLOOKUP(Q19,'Material index'!$I$6:$BE$7,2,FALSE)),"",HLOOKUP(Q19,'Material index'!$I$6:$BE$7,2,FALSE))</f>
        <v/>
      </c>
      <c r="R22" s="227"/>
      <c r="S22" s="226" t="str">
        <f>IF(ISERROR(HLOOKUP(S19,'Material index'!$I$6:$BE$7,2,FALSE)),"",HLOOKUP(S19,'Material index'!$I$6:$BE$7,2,FALSE))</f>
        <v/>
      </c>
      <c r="T22" s="227"/>
      <c r="U22" s="147"/>
      <c r="V22" s="226" t="str">
        <f>IF(ISERROR(HLOOKUP(V19,'Material index'!$I$6:$BE$7,2,FALSE)),"",HLOOKUP(V19,'Material index'!$I$6:$BE$7,2,FALSE))</f>
        <v/>
      </c>
      <c r="W22" s="227"/>
      <c r="X22" s="226" t="str">
        <f>IF(ISERROR(HLOOKUP(X19,'Material index'!$I$6:$BE$7,2,FALSE)),"",HLOOKUP(X19,'Material index'!$I$6:$BE$7,2,FALSE))</f>
        <v/>
      </c>
      <c r="Y22" s="228"/>
    </row>
    <row r="23" spans="1:25" s="85" customFormat="1" ht="18.75" customHeight="1">
      <c r="A23" s="197"/>
      <c r="B23" s="198"/>
      <c r="C23" s="102" t="s">
        <v>287</v>
      </c>
      <c r="D23" s="129"/>
      <c r="E23" s="103"/>
      <c r="F23" s="95"/>
      <c r="G23" s="223" t="str">
        <f>IF(ISERROR(I22/G22-1),"",I22/G22-1)</f>
        <v/>
      </c>
      <c r="H23" s="224"/>
      <c r="I23" s="224"/>
      <c r="J23" s="225"/>
      <c r="K23" s="132"/>
      <c r="L23" s="223" t="str">
        <f>IF(ISERROR(N22/L22-1),"",N22/L22-1)</f>
        <v/>
      </c>
      <c r="M23" s="224"/>
      <c r="N23" s="224"/>
      <c r="O23" s="225"/>
      <c r="P23" s="132"/>
      <c r="Q23" s="223" t="str">
        <f>IF(ISERROR(S22/Q22-1),"",S22/Q22-1)</f>
        <v/>
      </c>
      <c r="R23" s="224"/>
      <c r="S23" s="224"/>
      <c r="T23" s="225"/>
      <c r="U23" s="132"/>
      <c r="V23" s="223" t="str">
        <f>IF(ISERROR(X22/V22-1),"",X22/V22-1)</f>
        <v/>
      </c>
      <c r="W23" s="224"/>
      <c r="X23" s="224"/>
      <c r="Y23" s="225"/>
    </row>
    <row r="24" spans="1:25" ht="18.75" customHeight="1">
      <c r="A24" s="97"/>
      <c r="B24" s="98"/>
      <c r="C24" s="98"/>
      <c r="D24" s="98"/>
      <c r="E24" s="128"/>
      <c r="F24" s="79"/>
      <c r="G24" s="94"/>
      <c r="H24" s="94"/>
      <c r="I24" s="94"/>
      <c r="J24" s="94"/>
      <c r="K24" s="79"/>
      <c r="L24" s="94"/>
      <c r="M24" s="94"/>
      <c r="N24" s="94"/>
      <c r="O24" s="94"/>
      <c r="P24" s="79"/>
      <c r="Q24" s="94"/>
      <c r="R24" s="94"/>
      <c r="S24" s="94"/>
      <c r="T24" s="94"/>
      <c r="U24" s="79"/>
      <c r="V24" s="94"/>
      <c r="W24" s="94"/>
      <c r="X24" s="94"/>
      <c r="Y24" s="94"/>
    </row>
    <row r="25" spans="1:25" s="85" customFormat="1" ht="18.75" customHeight="1">
      <c r="A25" s="232" t="s">
        <v>288</v>
      </c>
      <c r="B25" s="233"/>
      <c r="C25" s="102" t="s">
        <v>70</v>
      </c>
      <c r="D25" s="129"/>
      <c r="E25" s="103"/>
      <c r="F25" s="95"/>
      <c r="G25" s="229"/>
      <c r="H25" s="229"/>
      <c r="I25" s="229"/>
      <c r="J25" s="229"/>
      <c r="K25" s="133"/>
      <c r="L25" s="229"/>
      <c r="M25" s="229"/>
      <c r="N25" s="229"/>
      <c r="O25" s="229"/>
      <c r="P25" s="133"/>
      <c r="Q25" s="236"/>
      <c r="R25" s="229"/>
      <c r="S25" s="229"/>
      <c r="T25" s="229"/>
      <c r="U25" s="133"/>
      <c r="V25" s="229"/>
      <c r="W25" s="229"/>
      <c r="X25" s="229"/>
      <c r="Y25" s="229"/>
    </row>
    <row r="26" spans="1:25" s="85" customFormat="1" ht="18.75" customHeight="1">
      <c r="A26" s="234"/>
      <c r="B26" s="235"/>
      <c r="C26" s="102" t="s">
        <v>289</v>
      </c>
      <c r="D26" s="129"/>
      <c r="E26" s="103"/>
      <c r="F26" s="95"/>
      <c r="G26" s="206"/>
      <c r="H26" s="230"/>
      <c r="I26" s="230"/>
      <c r="J26" s="231"/>
      <c r="K26" s="134"/>
      <c r="L26" s="206"/>
      <c r="M26" s="230"/>
      <c r="N26" s="230"/>
      <c r="O26" s="231"/>
      <c r="P26" s="134"/>
      <c r="Q26" s="206"/>
      <c r="R26" s="230"/>
      <c r="S26" s="230"/>
      <c r="T26" s="231"/>
      <c r="U26" s="134"/>
      <c r="V26" s="206"/>
      <c r="W26" s="230"/>
      <c r="X26" s="230"/>
      <c r="Y26" s="231"/>
    </row>
    <row r="27" spans="1:25" s="85" customFormat="1" ht="18.75" customHeight="1">
      <c r="A27" s="97"/>
      <c r="B27" s="98"/>
      <c r="C27" s="98"/>
      <c r="D27" s="98"/>
      <c r="E27" s="128"/>
      <c r="F27" s="79"/>
      <c r="G27" s="94"/>
      <c r="H27" s="94"/>
      <c r="I27" s="124"/>
      <c r="J27" s="124"/>
      <c r="K27" s="79"/>
      <c r="L27" s="94"/>
      <c r="M27" s="94"/>
      <c r="N27" s="94"/>
      <c r="O27" s="94"/>
      <c r="P27" s="79"/>
      <c r="Q27" s="94"/>
      <c r="R27" s="94"/>
      <c r="S27" s="94"/>
      <c r="T27" s="94"/>
      <c r="U27" s="79"/>
      <c r="V27" s="94"/>
      <c r="W27" s="94"/>
      <c r="X27" s="94"/>
      <c r="Y27" s="94"/>
    </row>
    <row r="28" spans="1:25" s="110" customFormat="1" ht="30" customHeight="1">
      <c r="A28" s="104" t="s">
        <v>78</v>
      </c>
      <c r="B28" s="104" t="s">
        <v>290</v>
      </c>
      <c r="C28" s="105" t="s">
        <v>291</v>
      </c>
      <c r="D28" s="106" t="s">
        <v>292</v>
      </c>
      <c r="E28" s="108" t="s">
        <v>460</v>
      </c>
      <c r="F28" s="107"/>
      <c r="G28" s="108" t="s">
        <v>293</v>
      </c>
      <c r="H28" s="106" t="s">
        <v>294</v>
      </c>
      <c r="I28" s="106" t="s">
        <v>295</v>
      </c>
      <c r="J28" s="106" t="s">
        <v>296</v>
      </c>
      <c r="K28" s="109"/>
      <c r="L28" s="108" t="s">
        <v>293</v>
      </c>
      <c r="M28" s="106" t="s">
        <v>294</v>
      </c>
      <c r="N28" s="106" t="s">
        <v>295</v>
      </c>
      <c r="O28" s="106" t="s">
        <v>296</v>
      </c>
      <c r="P28" s="109"/>
      <c r="Q28" s="108" t="s">
        <v>293</v>
      </c>
      <c r="R28" s="106" t="s">
        <v>294</v>
      </c>
      <c r="S28" s="106" t="s">
        <v>295</v>
      </c>
      <c r="T28" s="106" t="s">
        <v>296</v>
      </c>
      <c r="U28" s="109"/>
      <c r="V28" s="108" t="s">
        <v>293</v>
      </c>
      <c r="W28" s="106" t="s">
        <v>294</v>
      </c>
      <c r="X28" s="106" t="s">
        <v>295</v>
      </c>
      <c r="Y28" s="106" t="s">
        <v>296</v>
      </c>
    </row>
    <row r="29" spans="1:25" s="110" customFormat="1" ht="6" customHeight="1">
      <c r="A29" s="97"/>
      <c r="B29" s="98"/>
      <c r="C29" s="98"/>
      <c r="D29" s="98"/>
      <c r="E29" s="94"/>
      <c r="F29" s="79"/>
      <c r="G29" s="94"/>
      <c r="H29" s="94"/>
      <c r="I29" s="94"/>
      <c r="J29" s="94"/>
      <c r="K29" s="79"/>
      <c r="L29" s="94"/>
      <c r="M29" s="94"/>
      <c r="N29" s="94"/>
      <c r="O29" s="94"/>
      <c r="P29" s="79"/>
      <c r="Q29" s="94"/>
      <c r="R29" s="94"/>
      <c r="S29" s="94"/>
      <c r="T29" s="94"/>
      <c r="U29" s="79"/>
      <c r="V29" s="94"/>
      <c r="W29" s="94"/>
      <c r="X29" s="94"/>
      <c r="Y29" s="94"/>
    </row>
    <row r="30" spans="1:25" s="85" customFormat="1" ht="27" customHeight="1">
      <c r="A30" s="111">
        <v>1</v>
      </c>
      <c r="B30" s="146" t="str">
        <f>IF(ISERROR(VLOOKUP($L$6,'cost driver'!$B$8:$L$56,2,FALSE)),"",IF(VLOOKUP($L$6,'cost driver'!$B$8:$L$56,2,FALSE)=0,"",VLOOKUP($L$6,'cost driver'!$B$8:$L$56,2,FALSE)))</f>
        <v/>
      </c>
      <c r="C30" s="135"/>
      <c r="D30" s="135"/>
      <c r="E30" s="136">
        <v>1</v>
      </c>
      <c r="F30" s="118"/>
      <c r="G30" s="137" t="str">
        <f>IF(ISERROR(VLOOKUP($D30,'Material index'!$H$6:$BE$61,VLOOKUP(I$19,temp!$A$5:$B$53,2,FALSE),FALSE)/VLOOKUP($D30,'Material index'!$H$6:$AJ$61,VLOOKUP(G$19,temp!$A$5:$B$53,2,FALSE),FALSE)-1),"",VLOOKUP($D30,'Material index'!$H$6:$BE$61,VLOOKUP(I$19,temp!$A$5:$B$53,2,FALSE),FALSE)/VLOOKUP($D30,'Material index'!$H$6:$AJ$61,VLOOKUP(G$19,temp!$A$5:$B$53,2,FALSE),FALSE)-1)</f>
        <v/>
      </c>
      <c r="H30" s="138"/>
      <c r="I30" s="139" t="str">
        <f>IF(ISERROR(H30/G$26),"",H30/G$26)</f>
        <v/>
      </c>
      <c r="J30" s="139"/>
      <c r="K30" s="118"/>
      <c r="L30" s="137" t="str">
        <f>IF(ISERROR(VLOOKUP($D30,'Material index'!$H$6:$BE$61,VLOOKUP(N$19,temp!$A$5:$B$53,2,FALSE),FALSE)/VLOOKUP($D30,'Material index'!$H$6:$AJ$61,VLOOKUP(L$19,temp!$A$5:$B$53,2,FALSE),FALSE)-1),"",VLOOKUP($D30,'Material index'!$H$6:$BE$61,VLOOKUP(N$19,temp!$A$5:$B$53,2,FALSE),FALSE)/VLOOKUP($D30,'Material index'!$H$6:$AJ$61,VLOOKUP(L$19,temp!$A$5:$B$53,2,FALSE),FALSE)-1)</f>
        <v/>
      </c>
      <c r="M30" s="138"/>
      <c r="N30" s="139" t="str">
        <f>IF(ISERROR(M30/L$26),"",M30/L$26)</f>
        <v/>
      </c>
      <c r="O30" s="139" t="str">
        <f>IF(ISERROR(L30*N30),"",L30*N30*$E30)</f>
        <v/>
      </c>
      <c r="P30" s="118"/>
      <c r="Q30" s="137" t="str">
        <f>IF(ISERROR(VLOOKUP($D30,'Material index'!$H$6:$BE$61,VLOOKUP(S$19,temp!$A$5:$B$53,2,FALSE),FALSE)/VLOOKUP($D30,'Material index'!$H$6:$AJ$61,VLOOKUP(Q$19,temp!$A$5:$B$53,2,FALSE),FALSE)-1),"",VLOOKUP($D30,'Material index'!$H$6:$BE$61,VLOOKUP(S$19,temp!$A$5:$B$53,2,FALSE),FALSE)/VLOOKUP($D30,'Material index'!$H$6:$AJ$61,VLOOKUP(Q$19,temp!$A$5:$B$53,2,FALSE),FALSE)-1)</f>
        <v/>
      </c>
      <c r="R30" s="138"/>
      <c r="S30" s="139" t="str">
        <f>IF(ISERROR(R30/Q$26),"",R30/Q$26)</f>
        <v/>
      </c>
      <c r="T30" s="139" t="str">
        <f>IF(ISERROR(Q30*S30),"",Q30*S30*$E30)</f>
        <v/>
      </c>
      <c r="U30" s="118"/>
      <c r="V30" s="137" t="str">
        <f>IF(ISERROR(VLOOKUP($D30,'Material index'!$H$6:$BE$61,VLOOKUP(X$19,temp!$A$5:$B$53,2,FALSE),FALSE)/VLOOKUP($D30,'Material index'!$H$6:$AJ$61,VLOOKUP(V$19,temp!$A$5:$B$53,2,FALSE),FALSE)-1),"",VLOOKUP($D30,'Material index'!$H$6:$BE$61,VLOOKUP(X$19,temp!$A$5:$B$53,2,FALSE),FALSE)/VLOOKUP($D30,'Material index'!$H$6:$AJ$61,VLOOKUP(V$19,temp!$A$5:$B$53,2,FALSE),FALSE)-1)</f>
        <v/>
      </c>
      <c r="W30" s="138"/>
      <c r="X30" s="139" t="str">
        <f>IF(ISERROR(W30/V$26),"",W30/V$26)</f>
        <v/>
      </c>
      <c r="Y30" s="139" t="str">
        <f>IF(ISERROR(V30*X30),"",V30*X30*$E30)</f>
        <v/>
      </c>
    </row>
    <row r="31" spans="1:25" s="85" customFormat="1" ht="27" customHeight="1">
      <c r="A31" s="111">
        <v>2</v>
      </c>
      <c r="B31" s="146" t="str">
        <f>IF(ISERROR(VLOOKUP($L$6,'cost driver'!$B$8:$L$56,3,FALSE)),"",IF(VLOOKUP($L$6,'cost driver'!$B$8:$L$56,3,FALSE)=0,"",VLOOKUP($L$6,'cost driver'!$B$8:$L$56,3,FALSE)))</f>
        <v/>
      </c>
      <c r="C31" s="135"/>
      <c r="D31" s="135"/>
      <c r="E31" s="136">
        <v>1</v>
      </c>
      <c r="F31" s="118"/>
      <c r="G31" s="137" t="str">
        <f>IF(ISERROR(VLOOKUP($D31,'Material index'!$H$6:$BE$61,VLOOKUP(I$19,temp!$A$5:$B$53,2,FALSE),FALSE)/VLOOKUP($D31,'Material index'!$H$6:$AJ$61,VLOOKUP(G$19,temp!$A$5:$B$53,2,FALSE),FALSE)-1),"",VLOOKUP($D31,'Material index'!$H$6:$BE$61,VLOOKUP(I$19,temp!$A$5:$B$53,2,FALSE),FALSE)/VLOOKUP($D31,'Material index'!$H$6:$AJ$61,VLOOKUP(G$19,temp!$A$5:$B$53,2,FALSE),FALSE)-1)</f>
        <v/>
      </c>
      <c r="H31" s="138"/>
      <c r="I31" s="139" t="str">
        <f t="shared" ref="I31:I39" si="0">IF(ISERROR(H31/G$26),"",H31/G$26)</f>
        <v/>
      </c>
      <c r="J31" s="139"/>
      <c r="K31" s="118"/>
      <c r="L31" s="137" t="str">
        <f>IF(ISERROR(VLOOKUP($D31,'Material index'!$H$6:$BE$61,VLOOKUP(N$19,temp!$A$5:$B$53,2,FALSE),FALSE)/VLOOKUP($D31,'Material index'!$H$6:$AJ$61,VLOOKUP(L$19,temp!$A$5:$B$53,2,FALSE),FALSE)-1),"",VLOOKUP($D31,'Material index'!$H$6:$BE$61,VLOOKUP(N$19,temp!$A$5:$B$53,2,FALSE),FALSE)/VLOOKUP($D31,'Material index'!$H$6:$AJ$61,VLOOKUP(L$19,temp!$A$5:$B$53,2,FALSE),FALSE)-1)</f>
        <v/>
      </c>
      <c r="M31" s="138"/>
      <c r="N31" s="139" t="str">
        <f t="shared" ref="N31:N39" si="1">IF(ISERROR(M31/L$26),"",M31/L$26)</f>
        <v/>
      </c>
      <c r="O31" s="139" t="str">
        <f t="shared" ref="O31:O39" si="2">IF(ISERROR(L31*N31),"",L31*N31*$E31)</f>
        <v/>
      </c>
      <c r="P31" s="118"/>
      <c r="Q31" s="137" t="str">
        <f>IF(ISERROR(VLOOKUP($D31,'Material index'!$H$6:$BE$61,VLOOKUP(S$19,temp!$A$5:$B$53,2,FALSE),FALSE)/VLOOKUP($D31,'Material index'!$H$6:$AJ$61,VLOOKUP(Q$19,temp!$A$5:$B$53,2,FALSE),FALSE)-1),"",VLOOKUP($D31,'Material index'!$H$6:$BE$61,VLOOKUP(S$19,temp!$A$5:$B$53,2,FALSE),FALSE)/VLOOKUP($D31,'Material index'!$H$6:$AJ$61,VLOOKUP(Q$19,temp!$A$5:$B$53,2,FALSE),FALSE)-1)</f>
        <v/>
      </c>
      <c r="R31" s="138"/>
      <c r="S31" s="139" t="str">
        <f t="shared" ref="S31:S39" si="3">IF(ISERROR(R31/Q$26),"",R31/Q$26)</f>
        <v/>
      </c>
      <c r="T31" s="139" t="str">
        <f t="shared" ref="T31:T39" si="4">IF(ISERROR(Q31*S31),"",Q31*S31*$E31)</f>
        <v/>
      </c>
      <c r="U31" s="118"/>
      <c r="V31" s="137" t="str">
        <f>IF(ISERROR(VLOOKUP($D31,'Material index'!$H$6:$BE$61,VLOOKUP(X$19,temp!$A$5:$B$53,2,FALSE),FALSE)/VLOOKUP($D31,'Material index'!$H$6:$AJ$61,VLOOKUP(V$19,temp!$A$5:$B$53,2,FALSE),FALSE)-1),"",VLOOKUP($D31,'Material index'!$H$6:$BE$61,VLOOKUP(X$19,temp!$A$5:$B$53,2,FALSE),FALSE)/VLOOKUP($D31,'Material index'!$H$6:$AJ$61,VLOOKUP(V$19,temp!$A$5:$B$53,2,FALSE),FALSE)-1)</f>
        <v/>
      </c>
      <c r="W31" s="138"/>
      <c r="X31" s="139" t="str">
        <f t="shared" ref="X31:X39" si="5">IF(ISERROR(W31/V$26),"",W31/V$26)</f>
        <v/>
      </c>
      <c r="Y31" s="139" t="str">
        <f t="shared" ref="Y31:Y39" si="6">IF(ISERROR(V31*X31),"",V31*X31*$E31)</f>
        <v/>
      </c>
    </row>
    <row r="32" spans="1:25" s="85" customFormat="1" ht="27" customHeight="1">
      <c r="A32" s="111">
        <v>3</v>
      </c>
      <c r="B32" s="146" t="str">
        <f>IF(ISERROR(VLOOKUP($L$6,'cost driver'!$B$8:$L$56,4,FALSE)),"",IF(VLOOKUP($L$6,'cost driver'!$B$8:$L$56,4,FALSE)=0,"",VLOOKUP($L$6,'cost driver'!$B$8:$L$56,4,FALSE)))</f>
        <v/>
      </c>
      <c r="C32" s="135"/>
      <c r="D32" s="135"/>
      <c r="E32" s="136">
        <v>1</v>
      </c>
      <c r="F32" s="118"/>
      <c r="G32" s="137" t="str">
        <f>IF(ISERROR(VLOOKUP($D32,'Material index'!$H$6:$BE$61,VLOOKUP(I$19,temp!$A$5:$B$53,2,FALSE),FALSE)/VLOOKUP($D32,'Material index'!$H$6:$AJ$61,VLOOKUP(G$19,temp!$A$5:$B$53,2,FALSE),FALSE)-1),"",VLOOKUP($D32,'Material index'!$H$6:$BE$61,VLOOKUP(I$19,temp!$A$5:$B$53,2,FALSE),FALSE)/VLOOKUP($D32,'Material index'!$H$6:$AJ$61,VLOOKUP(G$19,temp!$A$5:$B$53,2,FALSE),FALSE)-1)</f>
        <v/>
      </c>
      <c r="H32" s="138"/>
      <c r="I32" s="139" t="str">
        <f t="shared" si="0"/>
        <v/>
      </c>
      <c r="J32" s="139"/>
      <c r="K32" s="118"/>
      <c r="L32" s="137" t="str">
        <f>IF(ISERROR(VLOOKUP($D32,'Material index'!$H$6:$BE$61,VLOOKUP(N$19,temp!$A$5:$B$53,2,FALSE),FALSE)/VLOOKUP($D32,'Material index'!$H$6:$AJ$61,VLOOKUP(L$19,temp!$A$5:$B$53,2,FALSE),FALSE)-1),"",VLOOKUP($D32,'Material index'!$H$6:$BE$61,VLOOKUP(N$19,temp!$A$5:$B$53,2,FALSE),FALSE)/VLOOKUP($D32,'Material index'!$H$6:$AJ$61,VLOOKUP(L$19,temp!$A$5:$B$53,2,FALSE),FALSE)-1)</f>
        <v/>
      </c>
      <c r="M32" s="138"/>
      <c r="N32" s="139" t="str">
        <f t="shared" si="1"/>
        <v/>
      </c>
      <c r="O32" s="139" t="str">
        <f t="shared" si="2"/>
        <v/>
      </c>
      <c r="P32" s="118"/>
      <c r="Q32" s="137" t="str">
        <f>IF(ISERROR(VLOOKUP($D32,'Material index'!$H$6:$BE$61,VLOOKUP(S$19,temp!$A$5:$B$53,2,FALSE),FALSE)/VLOOKUP($D32,'Material index'!$H$6:$AJ$61,VLOOKUP(Q$19,temp!$A$5:$B$53,2,FALSE),FALSE)-1),"",VLOOKUP($D32,'Material index'!$H$6:$BE$61,VLOOKUP(S$19,temp!$A$5:$B$53,2,FALSE),FALSE)/VLOOKUP($D32,'Material index'!$H$6:$AJ$61,VLOOKUP(Q$19,temp!$A$5:$B$53,2,FALSE),FALSE)-1)</f>
        <v/>
      </c>
      <c r="R32" s="138"/>
      <c r="S32" s="139" t="str">
        <f t="shared" si="3"/>
        <v/>
      </c>
      <c r="T32" s="139" t="str">
        <f t="shared" si="4"/>
        <v/>
      </c>
      <c r="U32" s="118"/>
      <c r="V32" s="137" t="str">
        <f>IF(ISERROR(VLOOKUP($D32,'Material index'!$H$6:$BE$61,VLOOKUP(X$19,temp!$A$5:$B$53,2,FALSE),FALSE)/VLOOKUP($D32,'Material index'!$H$6:$AJ$61,VLOOKUP(V$19,temp!$A$5:$B$53,2,FALSE),FALSE)-1),"",VLOOKUP($D32,'Material index'!$H$6:$BE$61,VLOOKUP(X$19,temp!$A$5:$B$53,2,FALSE),FALSE)/VLOOKUP($D32,'Material index'!$H$6:$AJ$61,VLOOKUP(V$19,temp!$A$5:$B$53,2,FALSE),FALSE)-1)</f>
        <v/>
      </c>
      <c r="W32" s="138"/>
      <c r="X32" s="139" t="str">
        <f t="shared" si="5"/>
        <v/>
      </c>
      <c r="Y32" s="139" t="str">
        <f t="shared" si="6"/>
        <v/>
      </c>
    </row>
    <row r="33" spans="1:25" s="85" customFormat="1" ht="27" customHeight="1">
      <c r="A33" s="111">
        <v>4</v>
      </c>
      <c r="B33" s="146" t="str">
        <f>IF(ISERROR(VLOOKUP($L$6,'cost driver'!$B$8:$L$56,5,FALSE)),"",IF(VLOOKUP($L$6,'cost driver'!$B$8:$L$56,5,FALSE)=0,"",VLOOKUP($L$6,'cost driver'!$B$8:$L$56,5,FALSE)))</f>
        <v/>
      </c>
      <c r="C33" s="135"/>
      <c r="D33" s="135"/>
      <c r="E33" s="136">
        <v>1</v>
      </c>
      <c r="F33" s="118"/>
      <c r="G33" s="137" t="str">
        <f>IF(ISERROR(VLOOKUP($D33,'Material index'!$H$6:$BE$61,VLOOKUP(I$19,temp!$A$5:$B$53,2,FALSE),FALSE)/VLOOKUP($D33,'Material index'!$H$6:$AJ$61,VLOOKUP(G$19,temp!$A$5:$B$53,2,FALSE),FALSE)-1),"",VLOOKUP($D33,'Material index'!$H$6:$BE$61,VLOOKUP(I$19,temp!$A$5:$B$53,2,FALSE),FALSE)/VLOOKUP($D33,'Material index'!$H$6:$AJ$61,VLOOKUP(G$19,temp!$A$5:$B$53,2,FALSE),FALSE)-1)</f>
        <v/>
      </c>
      <c r="H33" s="138"/>
      <c r="I33" s="139" t="str">
        <f t="shared" si="0"/>
        <v/>
      </c>
      <c r="J33" s="139" t="str">
        <f t="shared" ref="J33:J39" si="7">IF(ISERROR(G33*I33),"",G33*I33*$E33)</f>
        <v/>
      </c>
      <c r="K33" s="118"/>
      <c r="L33" s="137" t="str">
        <f>IF(ISERROR(VLOOKUP($D33,'Material index'!$H$6:$BE$61,VLOOKUP(N$19,temp!$A$5:$B$53,2,FALSE),FALSE)/VLOOKUP($D33,'Material index'!$H$6:$AJ$61,VLOOKUP(L$19,temp!$A$5:$B$53,2,FALSE),FALSE)-1),"",VLOOKUP($D33,'Material index'!$H$6:$BE$61,VLOOKUP(N$19,temp!$A$5:$B$53,2,FALSE),FALSE)/VLOOKUP($D33,'Material index'!$H$6:$AJ$61,VLOOKUP(L$19,temp!$A$5:$B$53,2,FALSE),FALSE)-1)</f>
        <v/>
      </c>
      <c r="M33" s="138"/>
      <c r="N33" s="139" t="str">
        <f t="shared" si="1"/>
        <v/>
      </c>
      <c r="O33" s="139" t="str">
        <f t="shared" si="2"/>
        <v/>
      </c>
      <c r="P33" s="118"/>
      <c r="Q33" s="137" t="str">
        <f>IF(ISERROR(VLOOKUP($D33,'Material index'!$H$6:$BE$61,VLOOKUP(S$19,temp!$A$5:$B$53,2,FALSE),FALSE)/VLOOKUP($D33,'Material index'!$H$6:$AJ$61,VLOOKUP(Q$19,temp!$A$5:$B$53,2,FALSE),FALSE)-1),"",VLOOKUP($D33,'Material index'!$H$6:$BE$61,VLOOKUP(S$19,temp!$A$5:$B$53,2,FALSE),FALSE)/VLOOKUP($D33,'Material index'!$H$6:$AJ$61,VLOOKUP(Q$19,temp!$A$5:$B$53,2,FALSE),FALSE)-1)</f>
        <v/>
      </c>
      <c r="R33" s="138"/>
      <c r="S33" s="139" t="str">
        <f t="shared" si="3"/>
        <v/>
      </c>
      <c r="T33" s="139" t="str">
        <f t="shared" si="4"/>
        <v/>
      </c>
      <c r="U33" s="118"/>
      <c r="V33" s="137" t="str">
        <f>IF(ISERROR(VLOOKUP($D33,'Material index'!$H$6:$BE$61,VLOOKUP(X$19,temp!$A$5:$B$53,2,FALSE),FALSE)/VLOOKUP($D33,'Material index'!$H$6:$AJ$61,VLOOKUP(V$19,temp!$A$5:$B$53,2,FALSE),FALSE)-1),"",VLOOKUP($D33,'Material index'!$H$6:$BE$61,VLOOKUP(X$19,temp!$A$5:$B$53,2,FALSE),FALSE)/VLOOKUP($D33,'Material index'!$H$6:$AJ$61,VLOOKUP(V$19,temp!$A$5:$B$53,2,FALSE),FALSE)-1)</f>
        <v/>
      </c>
      <c r="W33" s="138"/>
      <c r="X33" s="139" t="str">
        <f t="shared" si="5"/>
        <v/>
      </c>
      <c r="Y33" s="139" t="str">
        <f t="shared" si="6"/>
        <v/>
      </c>
    </row>
    <row r="34" spans="1:25" s="85" customFormat="1" ht="27" customHeight="1">
      <c r="A34" s="111">
        <v>5</v>
      </c>
      <c r="B34" s="146" t="str">
        <f>IF(ISERROR(VLOOKUP($L$6,'cost driver'!$B$8:$L$56,6,FALSE)),"",IF(VLOOKUP($L$6,'cost driver'!$B$8:$L$56,6,FALSE)=0,"",VLOOKUP($L$6,'cost driver'!$B$8:$L$56,6,FALSE)))</f>
        <v/>
      </c>
      <c r="C34" s="135"/>
      <c r="D34" s="135"/>
      <c r="E34" s="136">
        <v>1</v>
      </c>
      <c r="F34" s="118"/>
      <c r="G34" s="137" t="str">
        <f>IF(ISERROR(VLOOKUP($D34,'Material index'!$H$6:$BE$61,VLOOKUP(I$19,temp!$A$5:$B$53,2,FALSE),FALSE)/VLOOKUP($D34,'Material index'!$H$6:$AJ$61,VLOOKUP(G$19,temp!$A$5:$B$53,2,FALSE),FALSE)-1),"",VLOOKUP($D34,'Material index'!$H$6:$BE$61,VLOOKUP(I$19,temp!$A$5:$B$53,2,FALSE),FALSE)/VLOOKUP($D34,'Material index'!$H$6:$AJ$61,VLOOKUP(G$19,temp!$A$5:$B$53,2,FALSE),FALSE)-1)</f>
        <v/>
      </c>
      <c r="H34" s="138"/>
      <c r="I34" s="139" t="str">
        <f t="shared" si="0"/>
        <v/>
      </c>
      <c r="J34" s="139" t="str">
        <f t="shared" si="7"/>
        <v/>
      </c>
      <c r="K34" s="118"/>
      <c r="L34" s="137" t="str">
        <f>IF(ISERROR(VLOOKUP($D34,'Material index'!$H$6:$BE$61,VLOOKUP(N$19,temp!$A$5:$B$53,2,FALSE),FALSE)/VLOOKUP($D34,'Material index'!$H$6:$AJ$61,VLOOKUP(L$19,temp!$A$5:$B$53,2,FALSE),FALSE)-1),"",VLOOKUP($D34,'Material index'!$H$6:$BE$61,VLOOKUP(N$19,temp!$A$5:$B$53,2,FALSE),FALSE)/VLOOKUP($D34,'Material index'!$H$6:$AJ$61,VLOOKUP(L$19,temp!$A$5:$B$53,2,FALSE),FALSE)-1)</f>
        <v/>
      </c>
      <c r="M34" s="138"/>
      <c r="N34" s="139" t="str">
        <f t="shared" si="1"/>
        <v/>
      </c>
      <c r="O34" s="139" t="str">
        <f t="shared" si="2"/>
        <v/>
      </c>
      <c r="P34" s="118"/>
      <c r="Q34" s="137" t="str">
        <f>IF(ISERROR(VLOOKUP($D34,'Material index'!$H$6:$BE$61,VLOOKUP(S$19,temp!$A$5:$B$53,2,FALSE),FALSE)/VLOOKUP($D34,'Material index'!$H$6:$AJ$61,VLOOKUP(Q$19,temp!$A$5:$B$53,2,FALSE),FALSE)-1),"",VLOOKUP($D34,'Material index'!$H$6:$BE$61,VLOOKUP(S$19,temp!$A$5:$B$53,2,FALSE),FALSE)/VLOOKUP($D34,'Material index'!$H$6:$AJ$61,VLOOKUP(Q$19,temp!$A$5:$B$53,2,FALSE),FALSE)-1)</f>
        <v/>
      </c>
      <c r="R34" s="138"/>
      <c r="S34" s="139" t="str">
        <f t="shared" si="3"/>
        <v/>
      </c>
      <c r="T34" s="139" t="str">
        <f t="shared" si="4"/>
        <v/>
      </c>
      <c r="U34" s="118"/>
      <c r="V34" s="137" t="str">
        <f>IF(ISERROR(VLOOKUP($D34,'Material index'!$H$6:$BE$61,VLOOKUP(X$19,temp!$A$5:$B$53,2,FALSE),FALSE)/VLOOKUP($D34,'Material index'!$H$6:$AJ$61,VLOOKUP(V$19,temp!$A$5:$B$53,2,FALSE),FALSE)-1),"",VLOOKUP($D34,'Material index'!$H$6:$BE$61,VLOOKUP(X$19,temp!$A$5:$B$53,2,FALSE),FALSE)/VLOOKUP($D34,'Material index'!$H$6:$AJ$61,VLOOKUP(V$19,temp!$A$5:$B$53,2,FALSE),FALSE)-1)</f>
        <v/>
      </c>
      <c r="W34" s="138"/>
      <c r="X34" s="139" t="str">
        <f t="shared" si="5"/>
        <v/>
      </c>
      <c r="Y34" s="139" t="str">
        <f t="shared" si="6"/>
        <v/>
      </c>
    </row>
    <row r="35" spans="1:25" s="85" customFormat="1" ht="27" customHeight="1">
      <c r="A35" s="111">
        <v>6</v>
      </c>
      <c r="B35" s="146" t="str">
        <f>IF(ISERROR(VLOOKUP($L$6,'cost driver'!$B$8:$L$56,7,FALSE)),"",IF(VLOOKUP($L$6,'cost driver'!$B$8:$L$56,7,FALSE)=0,"",VLOOKUP($L$6,'cost driver'!$B$8:$L$56,7,FALSE)))</f>
        <v/>
      </c>
      <c r="C35" s="135"/>
      <c r="D35" s="135"/>
      <c r="E35" s="136">
        <v>1</v>
      </c>
      <c r="F35" s="118"/>
      <c r="G35" s="137" t="str">
        <f>IF(ISERROR(VLOOKUP($D35,'Material index'!$H$6:$BE$61,VLOOKUP(I$19,temp!$A$5:$B$53,2,FALSE),FALSE)/VLOOKUP($D35,'Material index'!$H$6:$AJ$61,VLOOKUP(G$19,temp!$A$5:$B$53,2,FALSE),FALSE)-1),"",VLOOKUP($D35,'Material index'!$H$6:$BE$61,VLOOKUP(I$19,temp!$A$5:$B$53,2,FALSE),FALSE)/VLOOKUP($D35,'Material index'!$H$6:$AJ$61,VLOOKUP(G$19,temp!$A$5:$B$53,2,FALSE),FALSE)-1)</f>
        <v/>
      </c>
      <c r="H35" s="138"/>
      <c r="I35" s="139" t="str">
        <f t="shared" si="0"/>
        <v/>
      </c>
      <c r="J35" s="139" t="str">
        <f t="shared" si="7"/>
        <v/>
      </c>
      <c r="K35" s="118"/>
      <c r="L35" s="137" t="str">
        <f>IF(ISERROR(VLOOKUP($D35,'Material index'!$H$6:$BE$61,VLOOKUP(N$19,temp!$A$5:$B$53,2,FALSE),FALSE)/VLOOKUP($D35,'Material index'!$H$6:$AJ$61,VLOOKUP(L$19,temp!$A$5:$B$53,2,FALSE),FALSE)-1),"",VLOOKUP($D35,'Material index'!$H$6:$BE$61,VLOOKUP(N$19,temp!$A$5:$B$53,2,FALSE),FALSE)/VLOOKUP($D35,'Material index'!$H$6:$AJ$61,VLOOKUP(L$19,temp!$A$5:$B$53,2,FALSE),FALSE)-1)</f>
        <v/>
      </c>
      <c r="M35" s="138"/>
      <c r="N35" s="139" t="str">
        <f t="shared" si="1"/>
        <v/>
      </c>
      <c r="O35" s="139" t="str">
        <f t="shared" si="2"/>
        <v/>
      </c>
      <c r="P35" s="118"/>
      <c r="Q35" s="137" t="str">
        <f>IF(ISERROR(VLOOKUP($D35,'Material index'!$H$6:$BE$61,VLOOKUP(S$19,temp!$A$5:$B$53,2,FALSE),FALSE)/VLOOKUP($D35,'Material index'!$H$6:$AJ$61,VLOOKUP(Q$19,temp!$A$5:$B$53,2,FALSE),FALSE)-1),"",VLOOKUP($D35,'Material index'!$H$6:$BE$61,VLOOKUP(S$19,temp!$A$5:$B$53,2,FALSE),FALSE)/VLOOKUP($D35,'Material index'!$H$6:$AJ$61,VLOOKUP(Q$19,temp!$A$5:$B$53,2,FALSE),FALSE)-1)</f>
        <v/>
      </c>
      <c r="R35" s="138"/>
      <c r="S35" s="139" t="str">
        <f t="shared" si="3"/>
        <v/>
      </c>
      <c r="T35" s="139" t="str">
        <f t="shared" si="4"/>
        <v/>
      </c>
      <c r="U35" s="118"/>
      <c r="V35" s="137" t="str">
        <f>IF(ISERROR(VLOOKUP($D35,'Material index'!$H$6:$BE$61,VLOOKUP(X$19,temp!$A$5:$B$53,2,FALSE),FALSE)/VLOOKUP($D35,'Material index'!$H$6:$AJ$61,VLOOKUP(V$19,temp!$A$5:$B$53,2,FALSE),FALSE)-1),"",VLOOKUP($D35,'Material index'!$H$6:$BE$61,VLOOKUP(X$19,temp!$A$5:$B$53,2,FALSE),FALSE)/VLOOKUP($D35,'Material index'!$H$6:$AJ$61,VLOOKUP(V$19,temp!$A$5:$B$53,2,FALSE),FALSE)-1)</f>
        <v/>
      </c>
      <c r="W35" s="138"/>
      <c r="X35" s="139" t="str">
        <f t="shared" si="5"/>
        <v/>
      </c>
      <c r="Y35" s="139" t="str">
        <f t="shared" si="6"/>
        <v/>
      </c>
    </row>
    <row r="36" spans="1:25" s="85" customFormat="1" ht="27" customHeight="1">
      <c r="A36" s="111">
        <v>7</v>
      </c>
      <c r="B36" s="146" t="str">
        <f>IF(ISERROR(VLOOKUP($L$6,'cost driver'!$B$8:$L$56,8,FALSE)),"",IF(VLOOKUP($L$6,'cost driver'!$B$8:$L$56,8,FALSE)=0,"",VLOOKUP($L$6,'cost driver'!$B$8:$L$56,8,FALSE)))</f>
        <v/>
      </c>
      <c r="C36" s="135"/>
      <c r="D36" s="135"/>
      <c r="E36" s="136">
        <v>1</v>
      </c>
      <c r="F36" s="118"/>
      <c r="G36" s="137" t="str">
        <f>IF(ISERROR(VLOOKUP($D36,'Material index'!$H$6:$BE$61,VLOOKUP(I$19,temp!$A$5:$B$53,2,FALSE),FALSE)/VLOOKUP($D36,'Material index'!$H$6:$AJ$61,VLOOKUP(G$19,temp!$A$5:$B$53,2,FALSE),FALSE)-1),"",VLOOKUP($D36,'Material index'!$H$6:$BE$61,VLOOKUP(I$19,temp!$A$5:$B$53,2,FALSE),FALSE)/VLOOKUP($D36,'Material index'!$H$6:$AJ$61,VLOOKUP(G$19,temp!$A$5:$B$53,2,FALSE),FALSE)-1)</f>
        <v/>
      </c>
      <c r="H36" s="138"/>
      <c r="I36" s="139" t="str">
        <f t="shared" si="0"/>
        <v/>
      </c>
      <c r="J36" s="139" t="str">
        <f t="shared" si="7"/>
        <v/>
      </c>
      <c r="K36" s="118"/>
      <c r="L36" s="137" t="str">
        <f>IF(ISERROR(VLOOKUP($D36,'Material index'!$H$6:$BE$61,VLOOKUP(N$19,temp!$A$5:$B$53,2,FALSE),FALSE)/VLOOKUP($D36,'Material index'!$H$6:$AJ$61,VLOOKUP(L$19,temp!$A$5:$B$53,2,FALSE),FALSE)-1),"",VLOOKUP($D36,'Material index'!$H$6:$BE$61,VLOOKUP(N$19,temp!$A$5:$B$53,2,FALSE),FALSE)/VLOOKUP($D36,'Material index'!$H$6:$AJ$61,VLOOKUP(L$19,temp!$A$5:$B$53,2,FALSE),FALSE)-1)</f>
        <v/>
      </c>
      <c r="M36" s="138"/>
      <c r="N36" s="139" t="str">
        <f t="shared" si="1"/>
        <v/>
      </c>
      <c r="O36" s="139" t="str">
        <f t="shared" si="2"/>
        <v/>
      </c>
      <c r="P36" s="118"/>
      <c r="Q36" s="137" t="str">
        <f>IF(ISERROR(VLOOKUP($D36,'Material index'!$H$6:$BE$61,VLOOKUP(S$19,temp!$A$5:$B$53,2,FALSE),FALSE)/VLOOKUP($D36,'Material index'!$H$6:$AJ$61,VLOOKUP(Q$19,temp!$A$5:$B$53,2,FALSE),FALSE)-1),"",VLOOKUP($D36,'Material index'!$H$6:$BE$61,VLOOKUP(S$19,temp!$A$5:$B$53,2,FALSE),FALSE)/VLOOKUP($D36,'Material index'!$H$6:$AJ$61,VLOOKUP(Q$19,temp!$A$5:$B$53,2,FALSE),FALSE)-1)</f>
        <v/>
      </c>
      <c r="R36" s="138"/>
      <c r="S36" s="139" t="str">
        <f t="shared" si="3"/>
        <v/>
      </c>
      <c r="T36" s="139" t="str">
        <f t="shared" si="4"/>
        <v/>
      </c>
      <c r="U36" s="118"/>
      <c r="V36" s="137" t="str">
        <f>IF(ISERROR(VLOOKUP($D36,'Material index'!$H$6:$BE$61,VLOOKUP(X$19,temp!$A$5:$B$53,2,FALSE),FALSE)/VLOOKUP($D36,'Material index'!$H$6:$AJ$61,VLOOKUP(V$19,temp!$A$5:$B$53,2,FALSE),FALSE)-1),"",VLOOKUP($D36,'Material index'!$H$6:$BE$61,VLOOKUP(X$19,temp!$A$5:$B$53,2,FALSE),FALSE)/VLOOKUP($D36,'Material index'!$H$6:$AJ$61,VLOOKUP(V$19,temp!$A$5:$B$53,2,FALSE),FALSE)-1)</f>
        <v/>
      </c>
      <c r="W36" s="138"/>
      <c r="X36" s="139" t="str">
        <f t="shared" si="5"/>
        <v/>
      </c>
      <c r="Y36" s="139" t="str">
        <f t="shared" si="6"/>
        <v/>
      </c>
    </row>
    <row r="37" spans="1:25" s="85" customFormat="1" ht="27" customHeight="1">
      <c r="A37" s="111">
        <v>8</v>
      </c>
      <c r="B37" s="146" t="str">
        <f>IF(ISERROR(VLOOKUP($L$6,'cost driver'!$B$8:$L$56,9,FALSE)),"",IF(VLOOKUP($L$6,'cost driver'!$B$8:$L$56,9,FALSE)=0,"",VLOOKUP($L$6,'cost driver'!$B$8:$L$56,9,FALSE)))</f>
        <v/>
      </c>
      <c r="C37" s="135"/>
      <c r="D37" s="135"/>
      <c r="E37" s="136">
        <v>1</v>
      </c>
      <c r="F37" s="118"/>
      <c r="G37" s="137" t="str">
        <f>IF(ISERROR(VLOOKUP($D37,'Material index'!$H$6:$BE$61,VLOOKUP(I$19,temp!$A$5:$B$53,2,FALSE),FALSE)/VLOOKUP($D37,'Material index'!$H$6:$AJ$61,VLOOKUP(G$19,temp!$A$5:$B$53,2,FALSE),FALSE)-1),"",VLOOKUP($D37,'Material index'!$H$6:$BE$61,VLOOKUP(I$19,temp!$A$5:$B$53,2,FALSE),FALSE)/VLOOKUP($D37,'Material index'!$H$6:$AJ$61,VLOOKUP(G$19,temp!$A$5:$B$53,2,FALSE),FALSE)-1)</f>
        <v/>
      </c>
      <c r="H37" s="138"/>
      <c r="I37" s="139" t="str">
        <f t="shared" si="0"/>
        <v/>
      </c>
      <c r="J37" s="139" t="str">
        <f t="shared" si="7"/>
        <v/>
      </c>
      <c r="K37" s="118"/>
      <c r="L37" s="137" t="str">
        <f>IF(ISERROR(VLOOKUP($D37,'Material index'!$H$6:$BE$61,VLOOKUP(N$19,temp!$A$5:$B$53,2,FALSE),FALSE)/VLOOKUP($D37,'Material index'!$H$6:$AJ$61,VLOOKUP(L$19,temp!$A$5:$B$53,2,FALSE),FALSE)-1),"",VLOOKUP($D37,'Material index'!$H$6:$BE$61,VLOOKUP(N$19,temp!$A$5:$B$53,2,FALSE),FALSE)/VLOOKUP($D37,'Material index'!$H$6:$AJ$61,VLOOKUP(L$19,temp!$A$5:$B$53,2,FALSE),FALSE)-1)</f>
        <v/>
      </c>
      <c r="M37" s="138"/>
      <c r="N37" s="139" t="str">
        <f t="shared" si="1"/>
        <v/>
      </c>
      <c r="O37" s="139" t="str">
        <f t="shared" si="2"/>
        <v/>
      </c>
      <c r="P37" s="118"/>
      <c r="Q37" s="137" t="str">
        <f>IF(ISERROR(VLOOKUP($D37,'Material index'!$H$6:$BE$61,VLOOKUP(S$19,temp!$A$5:$B$53,2,FALSE),FALSE)/VLOOKUP($D37,'Material index'!$H$6:$AJ$61,VLOOKUP(Q$19,temp!$A$5:$B$53,2,FALSE),FALSE)-1),"",VLOOKUP($D37,'Material index'!$H$6:$BE$61,VLOOKUP(S$19,temp!$A$5:$B$53,2,FALSE),FALSE)/VLOOKUP($D37,'Material index'!$H$6:$AJ$61,VLOOKUP(Q$19,temp!$A$5:$B$53,2,FALSE),FALSE)-1)</f>
        <v/>
      </c>
      <c r="R37" s="138"/>
      <c r="S37" s="139" t="str">
        <f t="shared" si="3"/>
        <v/>
      </c>
      <c r="T37" s="139" t="str">
        <f t="shared" si="4"/>
        <v/>
      </c>
      <c r="U37" s="118"/>
      <c r="V37" s="137" t="str">
        <f>IF(ISERROR(VLOOKUP($D37,'Material index'!$H$6:$BE$61,VLOOKUP(X$19,temp!$A$5:$B$53,2,FALSE),FALSE)/VLOOKUP($D37,'Material index'!$H$6:$AJ$61,VLOOKUP(V$19,temp!$A$5:$B$53,2,FALSE),FALSE)-1),"",VLOOKUP($D37,'Material index'!$H$6:$BE$61,VLOOKUP(X$19,temp!$A$5:$B$53,2,FALSE),FALSE)/VLOOKUP($D37,'Material index'!$H$6:$AJ$61,VLOOKUP(V$19,temp!$A$5:$B$53,2,FALSE),FALSE)-1)</f>
        <v/>
      </c>
      <c r="W37" s="138"/>
      <c r="X37" s="139" t="str">
        <f t="shared" si="5"/>
        <v/>
      </c>
      <c r="Y37" s="139" t="str">
        <f t="shared" si="6"/>
        <v/>
      </c>
    </row>
    <row r="38" spans="1:25" s="85" customFormat="1" ht="27" customHeight="1">
      <c r="A38" s="111">
        <v>9</v>
      </c>
      <c r="B38" s="146" t="str">
        <f>IF(ISERROR(VLOOKUP($L$6,'cost driver'!$B$8:$L$56,10,FALSE)),"",IF(VLOOKUP($L$6,'cost driver'!$B$8:$L$56,10,FALSE)=0,"",VLOOKUP($L$6,'cost driver'!$B$8:$L$56,10,FALSE)))</f>
        <v/>
      </c>
      <c r="C38" s="135"/>
      <c r="D38" s="135"/>
      <c r="E38" s="136">
        <v>1</v>
      </c>
      <c r="F38" s="118"/>
      <c r="G38" s="137" t="str">
        <f>IF(ISERROR(VLOOKUP($D38,'Material index'!$H$6:$BE$61,VLOOKUP(I$19,temp!$A$5:$B$53,2,FALSE),FALSE)/VLOOKUP($D38,'Material index'!$H$6:$AJ$61,VLOOKUP(G$19,temp!$A$5:$B$53,2,FALSE),FALSE)-1),"",VLOOKUP($D38,'Material index'!$H$6:$BE$61,VLOOKUP(I$19,temp!$A$5:$B$53,2,FALSE),FALSE)/VLOOKUP($D38,'Material index'!$H$6:$AJ$61,VLOOKUP(G$19,temp!$A$5:$B$53,2,FALSE),FALSE)-1)</f>
        <v/>
      </c>
      <c r="H38" s="138"/>
      <c r="I38" s="139" t="str">
        <f t="shared" si="0"/>
        <v/>
      </c>
      <c r="J38" s="139" t="str">
        <f t="shared" si="7"/>
        <v/>
      </c>
      <c r="K38" s="118"/>
      <c r="L38" s="137" t="str">
        <f>IF(ISERROR(VLOOKUP($D38,'Material index'!$H$6:$BE$61,VLOOKUP(N$19,temp!$A$5:$B$53,2,FALSE),FALSE)/VLOOKUP($D38,'Material index'!$H$6:$AJ$61,VLOOKUP(L$19,temp!$A$5:$B$53,2,FALSE),FALSE)-1),"",VLOOKUP($D38,'Material index'!$H$6:$BE$61,VLOOKUP(N$19,temp!$A$5:$B$53,2,FALSE),FALSE)/VLOOKUP($D38,'Material index'!$H$6:$AJ$61,VLOOKUP(L$19,temp!$A$5:$B$53,2,FALSE),FALSE)-1)</f>
        <v/>
      </c>
      <c r="M38" s="138"/>
      <c r="N38" s="139" t="str">
        <f t="shared" si="1"/>
        <v/>
      </c>
      <c r="O38" s="139" t="str">
        <f t="shared" si="2"/>
        <v/>
      </c>
      <c r="P38" s="118"/>
      <c r="Q38" s="137" t="str">
        <f>IF(ISERROR(VLOOKUP($D38,'Material index'!$H$6:$BE$61,VLOOKUP(S$19,temp!$A$5:$B$53,2,FALSE),FALSE)/VLOOKUP($D38,'Material index'!$H$6:$AJ$61,VLOOKUP(Q$19,temp!$A$5:$B$53,2,FALSE),FALSE)-1),"",VLOOKUP($D38,'Material index'!$H$6:$BE$61,VLOOKUP(S$19,temp!$A$5:$B$53,2,FALSE),FALSE)/VLOOKUP($D38,'Material index'!$H$6:$AJ$61,VLOOKUP(Q$19,temp!$A$5:$B$53,2,FALSE),FALSE)-1)</f>
        <v/>
      </c>
      <c r="R38" s="138"/>
      <c r="S38" s="139" t="str">
        <f t="shared" si="3"/>
        <v/>
      </c>
      <c r="T38" s="139" t="str">
        <f t="shared" si="4"/>
        <v/>
      </c>
      <c r="U38" s="118"/>
      <c r="V38" s="137" t="str">
        <f>IF(ISERROR(VLOOKUP($D38,'Material index'!$H$6:$BE$61,VLOOKUP(X$19,temp!$A$5:$B$53,2,FALSE),FALSE)/VLOOKUP($D38,'Material index'!$H$6:$AJ$61,VLOOKUP(V$19,temp!$A$5:$B$53,2,FALSE),FALSE)-1),"",VLOOKUP($D38,'Material index'!$H$6:$BE$61,VLOOKUP(X$19,temp!$A$5:$B$53,2,FALSE),FALSE)/VLOOKUP($D38,'Material index'!$H$6:$AJ$61,VLOOKUP(V$19,temp!$A$5:$B$53,2,FALSE),FALSE)-1)</f>
        <v/>
      </c>
      <c r="W38" s="138"/>
      <c r="X38" s="139" t="str">
        <f t="shared" si="5"/>
        <v/>
      </c>
      <c r="Y38" s="139" t="str">
        <f t="shared" si="6"/>
        <v/>
      </c>
    </row>
    <row r="39" spans="1:25" s="85" customFormat="1" ht="27" customHeight="1">
      <c r="A39" s="111">
        <v>10</v>
      </c>
      <c r="B39" s="146" t="str">
        <f>IF(ISERROR(VLOOKUP($L$6,'cost driver'!$B$8:$L$56,11,FALSE)),"",IF(VLOOKUP($L$6,'cost driver'!$B$8:$L$56,11,FALSE)=0,"",VLOOKUP($L$6,'cost driver'!$B$8:$L$56,11,FALSE)))</f>
        <v/>
      </c>
      <c r="C39" s="135"/>
      <c r="D39" s="135"/>
      <c r="E39" s="136">
        <v>1</v>
      </c>
      <c r="F39" s="118"/>
      <c r="G39" s="137" t="str">
        <f>IF(ISERROR(VLOOKUP($D39,'Material index'!$H$6:$BE$61,VLOOKUP(I$19,temp!$A$5:$B$53,2,FALSE),FALSE)/VLOOKUP($D39,'Material index'!$H$6:$AJ$61,VLOOKUP(G$19,temp!$A$5:$B$53,2,FALSE),FALSE)-1),"",VLOOKUP($D39,'Material index'!$H$6:$BE$61,VLOOKUP(I$19,temp!$A$5:$B$53,2,FALSE),FALSE)/VLOOKUP($D39,'Material index'!$H$6:$AJ$61,VLOOKUP(G$19,temp!$A$5:$B$53,2,FALSE),FALSE)-1)</f>
        <v/>
      </c>
      <c r="H39" s="138"/>
      <c r="I39" s="139" t="str">
        <f t="shared" si="0"/>
        <v/>
      </c>
      <c r="J39" s="139" t="str">
        <f t="shared" si="7"/>
        <v/>
      </c>
      <c r="K39" s="118"/>
      <c r="L39" s="137" t="str">
        <f>IF(ISERROR(VLOOKUP($D39,'Material index'!$H$6:$BE$61,VLOOKUP(N$19,temp!$A$5:$B$53,2,FALSE),FALSE)/VLOOKUP($D39,'Material index'!$H$6:$AJ$61,VLOOKUP(L$19,temp!$A$5:$B$53,2,FALSE),FALSE)-1),"",VLOOKUP($D39,'Material index'!$H$6:$BE$61,VLOOKUP(N$19,temp!$A$5:$B$53,2,FALSE),FALSE)/VLOOKUP($D39,'Material index'!$H$6:$AJ$61,VLOOKUP(L$19,temp!$A$5:$B$53,2,FALSE),FALSE)-1)</f>
        <v/>
      </c>
      <c r="M39" s="138"/>
      <c r="N39" s="139" t="str">
        <f t="shared" si="1"/>
        <v/>
      </c>
      <c r="O39" s="139" t="str">
        <f t="shared" si="2"/>
        <v/>
      </c>
      <c r="P39" s="118"/>
      <c r="Q39" s="137" t="str">
        <f>IF(ISERROR(VLOOKUP($D39,'Material index'!$H$6:$BE$61,VLOOKUP(S$19,temp!$A$5:$B$53,2,FALSE),FALSE)/VLOOKUP($D39,'Material index'!$H$6:$AJ$61,VLOOKUP(Q$19,temp!$A$5:$B$53,2,FALSE),FALSE)-1),"",VLOOKUP($D39,'Material index'!$H$6:$BE$61,VLOOKUP(S$19,temp!$A$5:$B$53,2,FALSE),FALSE)/VLOOKUP($D39,'Material index'!$H$6:$AJ$61,VLOOKUP(Q$19,temp!$A$5:$B$53,2,FALSE),FALSE)-1)</f>
        <v/>
      </c>
      <c r="R39" s="138"/>
      <c r="S39" s="139" t="str">
        <f t="shared" si="3"/>
        <v/>
      </c>
      <c r="T39" s="139" t="str">
        <f t="shared" si="4"/>
        <v/>
      </c>
      <c r="U39" s="118"/>
      <c r="V39" s="137" t="str">
        <f>IF(ISERROR(VLOOKUP($D39,'Material index'!$H$6:$BE$61,VLOOKUP(X$19,temp!$A$5:$B$53,2,FALSE),FALSE)/VLOOKUP($D39,'Material index'!$H$6:$AJ$61,VLOOKUP(V$19,temp!$A$5:$B$53,2,FALSE),FALSE)-1),"",VLOOKUP($D39,'Material index'!$H$6:$BE$61,VLOOKUP(X$19,temp!$A$5:$B$53,2,FALSE),FALSE)/VLOOKUP($D39,'Material index'!$H$6:$AJ$61,VLOOKUP(V$19,temp!$A$5:$B$53,2,FALSE),FALSE)-1)</f>
        <v/>
      </c>
      <c r="W39" s="138"/>
      <c r="X39" s="139" t="str">
        <f t="shared" si="5"/>
        <v/>
      </c>
      <c r="Y39" s="139" t="str">
        <f t="shared" si="6"/>
        <v/>
      </c>
    </row>
    <row r="40" spans="1:25" s="85" customFormat="1" ht="9" customHeight="1">
      <c r="A40" s="99"/>
      <c r="B40" s="100"/>
      <c r="C40" s="100"/>
      <c r="D40" s="100"/>
      <c r="E40" s="128"/>
      <c r="F40" s="79"/>
      <c r="G40" s="112"/>
      <c r="H40" s="94"/>
      <c r="I40" s="94"/>
      <c r="J40" s="94"/>
      <c r="K40" s="79"/>
      <c r="L40" s="125"/>
      <c r="M40" s="94"/>
      <c r="N40" s="94"/>
      <c r="O40" s="94"/>
      <c r="P40" s="79"/>
      <c r="Q40" s="112"/>
      <c r="R40" s="94"/>
      <c r="S40" s="94"/>
      <c r="T40" s="94"/>
      <c r="U40" s="79"/>
      <c r="V40" s="112"/>
      <c r="W40" s="94"/>
      <c r="X40" s="94"/>
      <c r="Y40" s="94"/>
    </row>
    <row r="41" spans="1:25" s="85" customFormat="1" ht="30" customHeight="1">
      <c r="A41" s="237" t="s">
        <v>458</v>
      </c>
      <c r="B41" s="238"/>
      <c r="C41" s="238"/>
      <c r="D41" s="238"/>
      <c r="E41" s="239"/>
      <c r="F41" s="140"/>
      <c r="G41" s="141"/>
      <c r="H41" s="142" t="str">
        <f>IF(SUM(H30:H39)=0,"",SUM(H30:H39))</f>
        <v/>
      </c>
      <c r="I41" s="143" t="str">
        <f>IF(ISERROR(H41/G26),"",H41/G26)</f>
        <v/>
      </c>
      <c r="J41" s="143" t="str">
        <f>IF(SUM(J30:J39)=0,"",SUM(J30:J39))</f>
        <v/>
      </c>
      <c r="K41" s="144"/>
      <c r="L41" s="141"/>
      <c r="M41" s="142" t="str">
        <f>IF(SUM(M30:M39)=0,"",SUM(M30:M39))</f>
        <v/>
      </c>
      <c r="N41" s="143" t="str">
        <f>IF(ISERROR(M41/L26),"",M41/L26)</f>
        <v/>
      </c>
      <c r="O41" s="143" t="str">
        <f>IF(SUM(O30:O39)=0,"",SUM(O30:O39))</f>
        <v/>
      </c>
      <c r="P41" s="144"/>
      <c r="Q41" s="141"/>
      <c r="R41" s="142" t="str">
        <f>IF(SUM(R30:R39)=0,"",SUM(R30:R39))</f>
        <v/>
      </c>
      <c r="S41" s="143" t="str">
        <f>IF(ISERROR(R41/Q26),"",R41/Q26)</f>
        <v/>
      </c>
      <c r="T41" s="143" t="str">
        <f>IF(SUM(T30:T39)=0,"",SUM(T30:T39))</f>
        <v/>
      </c>
      <c r="U41" s="144"/>
      <c r="V41" s="141"/>
      <c r="W41" s="142" t="str">
        <f>IF(SUM(W30:W39)=0,"",SUM(W30:W39))</f>
        <v/>
      </c>
      <c r="X41" s="143" t="str">
        <f>IF(ISERROR(W41/V26),"",W41/V26)</f>
        <v/>
      </c>
      <c r="Y41" s="143" t="str">
        <f>IF(SUM(Y30:Y39)=0,"",SUM(Y30:Y39))</f>
        <v/>
      </c>
    </row>
  </sheetData>
  <sheetProtection password="EECE" sheet="1" objects="1" scenarios="1"/>
  <mergeCells count="92">
    <mergeCell ref="A25:B26"/>
    <mergeCell ref="G25:J25"/>
    <mergeCell ref="L25:O25"/>
    <mergeCell ref="Q25:T25"/>
    <mergeCell ref="A41:E41"/>
    <mergeCell ref="V25:Y25"/>
    <mergeCell ref="G26:J26"/>
    <mergeCell ref="L26:O26"/>
    <mergeCell ref="Q26:T26"/>
    <mergeCell ref="V26:Y26"/>
    <mergeCell ref="S22:T22"/>
    <mergeCell ref="V22:W22"/>
    <mergeCell ref="X22:Y22"/>
    <mergeCell ref="G23:J23"/>
    <mergeCell ref="L23:O23"/>
    <mergeCell ref="Q23:T23"/>
    <mergeCell ref="V23:Y23"/>
    <mergeCell ref="G22:H22"/>
    <mergeCell ref="I22:J22"/>
    <mergeCell ref="L22:M22"/>
    <mergeCell ref="N22:O22"/>
    <mergeCell ref="Q22:R22"/>
    <mergeCell ref="S20:T20"/>
    <mergeCell ref="V20:W20"/>
    <mergeCell ref="X20:Y20"/>
    <mergeCell ref="G21:J21"/>
    <mergeCell ref="L21:O21"/>
    <mergeCell ref="Q21:T21"/>
    <mergeCell ref="V21:Y21"/>
    <mergeCell ref="G20:H20"/>
    <mergeCell ref="I20:J20"/>
    <mergeCell ref="L20:M20"/>
    <mergeCell ref="N20:O20"/>
    <mergeCell ref="Q20:R20"/>
    <mergeCell ref="A17:D17"/>
    <mergeCell ref="G17:H17"/>
    <mergeCell ref="I17:J17"/>
    <mergeCell ref="L17:M17"/>
    <mergeCell ref="N17:O17"/>
    <mergeCell ref="S17:T17"/>
    <mergeCell ref="V17:W17"/>
    <mergeCell ref="X17:Y17"/>
    <mergeCell ref="G19:H19"/>
    <mergeCell ref="I19:J19"/>
    <mergeCell ref="L19:M19"/>
    <mergeCell ref="N19:O19"/>
    <mergeCell ref="Q19:R19"/>
    <mergeCell ref="S19:T19"/>
    <mergeCell ref="Q17:R17"/>
    <mergeCell ref="V19:W19"/>
    <mergeCell ref="X19:Y19"/>
    <mergeCell ref="G14:J14"/>
    <mergeCell ref="L14:O14"/>
    <mergeCell ref="Q14:T14"/>
    <mergeCell ref="V14:Y14"/>
    <mergeCell ref="G15:J15"/>
    <mergeCell ref="L15:O15"/>
    <mergeCell ref="Q15:T15"/>
    <mergeCell ref="V15:Y15"/>
    <mergeCell ref="Q9:T9"/>
    <mergeCell ref="G13:J13"/>
    <mergeCell ref="L13:O13"/>
    <mergeCell ref="Q13:T13"/>
    <mergeCell ref="V13:Y13"/>
    <mergeCell ref="G11:J11"/>
    <mergeCell ref="L11:O11"/>
    <mergeCell ref="Q11:T11"/>
    <mergeCell ref="V11:Y11"/>
    <mergeCell ref="V6:Y6"/>
    <mergeCell ref="A19:B23"/>
    <mergeCell ref="A11:E11"/>
    <mergeCell ref="A12:E12"/>
    <mergeCell ref="A13:E13"/>
    <mergeCell ref="A14:E14"/>
    <mergeCell ref="A15:E15"/>
    <mergeCell ref="G12:J12"/>
    <mergeCell ref="L12:O12"/>
    <mergeCell ref="Q12:T12"/>
    <mergeCell ref="V12:Y12"/>
    <mergeCell ref="V9:Y9"/>
    <mergeCell ref="G6:J6"/>
    <mergeCell ref="L6:O6"/>
    <mergeCell ref="G9:J9"/>
    <mergeCell ref="L9:O9"/>
    <mergeCell ref="C1:U1"/>
    <mergeCell ref="C2:U2"/>
    <mergeCell ref="C3:U3"/>
    <mergeCell ref="W2:Y2"/>
    <mergeCell ref="V5:Y5"/>
    <mergeCell ref="G5:J5"/>
    <mergeCell ref="L5:O5"/>
    <mergeCell ref="W3:Y3"/>
  </mergeCells>
  <phoneticPr fontId="11" type="noConversion"/>
  <conditionalFormatting sqref="J30:J39 O30:O39 T30:T39 Y30:Y39">
    <cfRule type="cellIs" dxfId="33" priority="34" operator="lessThan">
      <formula>0</formula>
    </cfRule>
    <cfRule type="cellIs" dxfId="32" priority="33" operator="greaterThan">
      <formula>0</formula>
    </cfRule>
  </conditionalFormatting>
  <conditionalFormatting sqref="G21:J21">
    <cfRule type="cellIs" dxfId="31" priority="31" operator="greaterThan">
      <formula>0</formula>
    </cfRule>
    <cfRule type="cellIs" dxfId="30" priority="32" operator="lessThan">
      <formula>0</formula>
    </cfRule>
  </conditionalFormatting>
  <conditionalFormatting sqref="L21:O21">
    <cfRule type="cellIs" dxfId="29" priority="29" operator="greaterThan">
      <formula>0</formula>
    </cfRule>
    <cfRule type="cellIs" dxfId="28" priority="30" operator="lessThan">
      <formula>0</formula>
    </cfRule>
  </conditionalFormatting>
  <conditionalFormatting sqref="Q21:T21">
    <cfRule type="cellIs" dxfId="27" priority="27" operator="greaterThan">
      <formula>0</formula>
    </cfRule>
    <cfRule type="cellIs" dxfId="26" priority="28" operator="lessThan">
      <formula>0</formula>
    </cfRule>
  </conditionalFormatting>
  <conditionalFormatting sqref="V21:Y21">
    <cfRule type="cellIs" dxfId="25" priority="25" operator="greaterThan">
      <formula>0</formula>
    </cfRule>
    <cfRule type="cellIs" dxfId="24" priority="26" operator="lessThan">
      <formula>0</formula>
    </cfRule>
  </conditionalFormatting>
  <conditionalFormatting sqref="V23:Y23">
    <cfRule type="cellIs" dxfId="23" priority="23" operator="greaterThan">
      <formula>0</formula>
    </cfRule>
    <cfRule type="cellIs" dxfId="22" priority="24" operator="lessThan">
      <formula>0</formula>
    </cfRule>
  </conditionalFormatting>
  <conditionalFormatting sqref="Q23:T23">
    <cfRule type="cellIs" dxfId="21" priority="21" operator="greaterThan">
      <formula>0</formula>
    </cfRule>
    <cfRule type="cellIs" dxfId="20" priority="22" operator="lessThan">
      <formula>0</formula>
    </cfRule>
  </conditionalFormatting>
  <conditionalFormatting sqref="L23:O23">
    <cfRule type="cellIs" dxfId="19" priority="19" operator="greaterThan">
      <formula>0</formula>
    </cfRule>
    <cfRule type="cellIs" dxfId="18" priority="20" operator="lessThan">
      <formula>0</formula>
    </cfRule>
  </conditionalFormatting>
  <conditionalFormatting sqref="G23:J23">
    <cfRule type="cellIs" dxfId="17" priority="17" operator="greaterThan">
      <formula>0</formula>
    </cfRule>
    <cfRule type="cellIs" dxfId="16" priority="18" operator="lessThan">
      <formula>0</formula>
    </cfRule>
  </conditionalFormatting>
  <conditionalFormatting sqref="G30:G39">
    <cfRule type="cellIs" dxfId="15" priority="15" operator="greaterThan">
      <formula>0</formula>
    </cfRule>
    <cfRule type="cellIs" dxfId="14" priority="16" operator="lessThan">
      <formula>0</formula>
    </cfRule>
  </conditionalFormatting>
  <conditionalFormatting sqref="L30:L39">
    <cfRule type="cellIs" dxfId="13" priority="13" operator="greaterThan">
      <formula>0</formula>
    </cfRule>
    <cfRule type="cellIs" dxfId="12" priority="14" operator="lessThan">
      <formula>0</formula>
    </cfRule>
  </conditionalFormatting>
  <conditionalFormatting sqref="Q30:Q39">
    <cfRule type="cellIs" dxfId="11" priority="11" operator="greaterThan">
      <formula>0</formula>
    </cfRule>
    <cfRule type="cellIs" dxfId="10" priority="12" operator="lessThan">
      <formula>0</formula>
    </cfRule>
  </conditionalFormatting>
  <conditionalFormatting sqref="V30:V39">
    <cfRule type="cellIs" dxfId="9" priority="9" operator="greaterThan">
      <formula>0</formula>
    </cfRule>
    <cfRule type="cellIs" dxfId="8" priority="10" operator="lessThan">
      <formula>0</formula>
    </cfRule>
  </conditionalFormatting>
  <conditionalFormatting sqref="J41">
    <cfRule type="cellIs" dxfId="7" priority="8" operator="lessThan">
      <formula>0</formula>
    </cfRule>
    <cfRule type="cellIs" dxfId="6" priority="7" operator="greaterThan">
      <formula>0</formula>
    </cfRule>
  </conditionalFormatting>
  <conditionalFormatting sqref="O41">
    <cfRule type="cellIs" dxfId="5" priority="5" operator="greaterThan">
      <formula>0</formula>
    </cfRule>
    <cfRule type="cellIs" dxfId="4" priority="6" operator="lessThan">
      <formula>0</formula>
    </cfRule>
  </conditionalFormatting>
  <conditionalFormatting sqref="T41">
    <cfRule type="cellIs" dxfId="3" priority="3" operator="greaterThan">
      <formula>0</formula>
    </cfRule>
    <cfRule type="cellIs" dxfId="2" priority="4" operator="lessThan">
      <formula>0</formula>
    </cfRule>
  </conditionalFormatting>
  <conditionalFormatting sqref="Y41">
    <cfRule type="cellIs" dxfId="1" priority="1" operator="greaterThan">
      <formula>0</formula>
    </cfRule>
    <cfRule type="cellIs" dxfId="0" priority="2" operator="lessThan">
      <formula>0</formula>
    </cfRule>
  </conditionalFormatting>
  <dataValidations count="22">
    <dataValidation type="list" allowBlank="1" sqref="G6:J6">
      <formula1>SBU</formula1>
    </dataValidation>
    <dataValidation type="list" allowBlank="1" sqref="L6:O6">
      <formula1>INDIRECT($G$6)</formula1>
    </dataValidation>
    <dataValidation type="list" allowBlank="1" showInputMessage="1" showErrorMessage="1" sqref="G19:H19 L19:M19 Q19:R19 V19:W19">
      <formula1>Start</formula1>
    </dataValidation>
    <dataValidation type="list" allowBlank="1" showInputMessage="1" showErrorMessage="1" sqref="I19:J19 N19:O19 S19:T19 X19:Y19">
      <formula1>End</formula1>
    </dataValidation>
    <dataValidation type="list" allowBlank="1" showInputMessage="1" showErrorMessage="1" sqref="C30:C39">
      <formula1>Type</formula1>
    </dataValidation>
    <dataValidation type="list" allowBlank="1" showInputMessage="1" showErrorMessage="1" sqref="D30">
      <formula1>INDIRECT($C$30)</formula1>
    </dataValidation>
    <dataValidation type="list" allowBlank="1" showInputMessage="1" showErrorMessage="1" sqref="D31">
      <formula1>INDIRECT($C$31)</formula1>
    </dataValidation>
    <dataValidation type="list" allowBlank="1" showInputMessage="1" showErrorMessage="1" sqref="D32">
      <formula1>INDIRECT($C$32)</formula1>
    </dataValidation>
    <dataValidation type="list" allowBlank="1" showInputMessage="1" showErrorMessage="1" sqref="D33">
      <formula1>INDIRECT($C$33)</formula1>
    </dataValidation>
    <dataValidation type="list" allowBlank="1" showInputMessage="1" showErrorMessage="1" sqref="D34">
      <formula1>INDIRECT($C$34)</formula1>
    </dataValidation>
    <dataValidation type="list" allowBlank="1" showInputMessage="1" showErrorMessage="1" sqref="D35">
      <formula1>INDIRECT($C$35)</formula1>
    </dataValidation>
    <dataValidation type="list" allowBlank="1" showInputMessage="1" showErrorMessage="1" sqref="D36">
      <formula1>INDIRECT($C$36)</formula1>
    </dataValidation>
    <dataValidation type="list" allowBlank="1" showInputMessage="1" showErrorMessage="1" sqref="D37">
      <formula1>INDIRECT($C$37)</formula1>
    </dataValidation>
    <dataValidation type="list" allowBlank="1" showInputMessage="1" showErrorMessage="1" sqref="D38">
      <formula1>INDIRECT($C$38)</formula1>
    </dataValidation>
    <dataValidation type="list" allowBlank="1" showInputMessage="1" showErrorMessage="1" sqref="D39">
      <formula1>INDIRECT($C$39)</formula1>
    </dataValidation>
    <dataValidation type="list" allowBlank="1" sqref="G12:J12 L12:O12 Q12:T12 V12:Y12">
      <formula1>SSM</formula1>
    </dataValidation>
    <dataValidation type="list" allowBlank="1" sqref="G13:J13">
      <formula1>INDIRECT($G$12)</formula1>
    </dataValidation>
    <dataValidation type="list" allowBlank="1" sqref="G25:J25 L25:O25 Q25:T25 V25:Y25">
      <formula1>End</formula1>
    </dataValidation>
    <dataValidation type="list" allowBlank="1" sqref="L13:O13">
      <formula1>INDIRECT($L$12)</formula1>
    </dataValidation>
    <dataValidation type="list" allowBlank="1" sqref="Q13:T13">
      <formula1>INDIRECT($Q$12)</formula1>
    </dataValidation>
    <dataValidation type="list" allowBlank="1" sqref="V13:Y13">
      <formula1>INDIRECT($V$12)</formula1>
    </dataValidation>
    <dataValidation allowBlank="1" sqref="B30:B39"/>
  </dataValidations>
  <printOptions horizontalCentered="1" verticalCentered="1"/>
  <pageMargins left="0.25" right="0.25" top="0.25" bottom="0.25" header="0.3" footer="0.3"/>
  <pageSetup paperSize="9" scale="59" orientation="landscape" r:id="rId1"/>
  <drawing r:id="rId2"/>
</worksheet>
</file>

<file path=xl/worksheets/sheet3.xml><?xml version="1.0" encoding="utf-8"?>
<worksheet xmlns="http://schemas.openxmlformats.org/spreadsheetml/2006/main" xmlns:r="http://schemas.openxmlformats.org/officeDocument/2006/relationships">
  <dimension ref="A8:L151"/>
  <sheetViews>
    <sheetView topLeftCell="A4" zoomScale="70" zoomScaleNormal="70" workbookViewId="0">
      <pane xSplit="2" ySplit="5" topLeftCell="C57" activePane="bottomRight" state="frozenSplit"/>
      <selection activeCell="A4" sqref="A4"/>
      <selection pane="topRight" activeCell="C4" sqref="C4"/>
      <selection pane="bottomLeft" activeCell="A8" sqref="A8"/>
      <selection pane="bottomRight" activeCell="C64" sqref="C64"/>
    </sheetView>
  </sheetViews>
  <sheetFormatPr defaultRowHeight="15"/>
  <cols>
    <col min="1" max="1" width="26.140625" customWidth="1"/>
    <col min="2" max="2" width="31.85546875" customWidth="1"/>
    <col min="3" max="12" width="16" customWidth="1"/>
  </cols>
  <sheetData>
    <row r="8" spans="1:12">
      <c r="A8" s="117" t="s">
        <v>268</v>
      </c>
      <c r="B8" s="114" t="s">
        <v>297</v>
      </c>
      <c r="C8" s="114" t="s">
        <v>298</v>
      </c>
      <c r="D8" s="114" t="s">
        <v>299</v>
      </c>
      <c r="E8" s="114" t="s">
        <v>300</v>
      </c>
      <c r="F8" s="114" t="s">
        <v>301</v>
      </c>
      <c r="G8" s="114" t="s">
        <v>302</v>
      </c>
      <c r="H8" s="114" t="s">
        <v>303</v>
      </c>
      <c r="I8" s="114" t="s">
        <v>304</v>
      </c>
      <c r="J8" s="114" t="s">
        <v>305</v>
      </c>
      <c r="K8" s="114" t="s">
        <v>306</v>
      </c>
      <c r="L8" s="114" t="s">
        <v>307</v>
      </c>
    </row>
    <row r="9" spans="1:12">
      <c r="A9" s="117" t="s">
        <v>446</v>
      </c>
      <c r="B9" s="115" t="s">
        <v>322</v>
      </c>
      <c r="C9" s="117" t="s">
        <v>309</v>
      </c>
      <c r="D9" s="117" t="s">
        <v>310</v>
      </c>
      <c r="E9" s="117" t="s">
        <v>311</v>
      </c>
      <c r="F9" s="117" t="s">
        <v>313</v>
      </c>
      <c r="G9" s="117" t="s">
        <v>488</v>
      </c>
      <c r="H9" s="117" t="s">
        <v>314</v>
      </c>
      <c r="I9" s="117" t="s">
        <v>315</v>
      </c>
      <c r="J9" s="117" t="s">
        <v>316</v>
      </c>
      <c r="K9" s="117" t="s">
        <v>317</v>
      </c>
      <c r="L9" s="117" t="s">
        <v>323</v>
      </c>
    </row>
    <row r="10" spans="1:12">
      <c r="A10" s="117" t="s">
        <v>446</v>
      </c>
      <c r="B10" s="115" t="s">
        <v>331</v>
      </c>
      <c r="C10" s="117" t="s">
        <v>309</v>
      </c>
      <c r="D10" s="117" t="s">
        <v>311</v>
      </c>
      <c r="E10" s="117" t="s">
        <v>312</v>
      </c>
      <c r="F10" s="117" t="s">
        <v>319</v>
      </c>
      <c r="G10" s="117" t="s">
        <v>320</v>
      </c>
      <c r="H10" s="117" t="s">
        <v>488</v>
      </c>
      <c r="I10" s="117" t="s">
        <v>314</v>
      </c>
      <c r="J10" s="117" t="s">
        <v>316</v>
      </c>
      <c r="K10" s="117" t="s">
        <v>317</v>
      </c>
      <c r="L10" s="117" t="s">
        <v>332</v>
      </c>
    </row>
    <row r="11" spans="1:12">
      <c r="A11" s="117" t="s">
        <v>446</v>
      </c>
      <c r="B11" s="116" t="s">
        <v>340</v>
      </c>
      <c r="C11" s="117" t="s">
        <v>309</v>
      </c>
      <c r="D11" s="117" t="s">
        <v>311</v>
      </c>
      <c r="E11" s="117" t="s">
        <v>319</v>
      </c>
      <c r="F11" s="117" t="s">
        <v>320</v>
      </c>
      <c r="G11" s="117" t="s">
        <v>314</v>
      </c>
      <c r="H11" s="117" t="s">
        <v>315</v>
      </c>
      <c r="I11" s="117" t="s">
        <v>316</v>
      </c>
      <c r="J11" s="117" t="s">
        <v>317</v>
      </c>
      <c r="K11" s="117"/>
      <c r="L11" s="117"/>
    </row>
    <row r="12" spans="1:12">
      <c r="A12" s="117" t="s">
        <v>446</v>
      </c>
      <c r="B12" s="115" t="s">
        <v>341</v>
      </c>
      <c r="C12" s="117" t="s">
        <v>309</v>
      </c>
      <c r="D12" s="117" t="s">
        <v>311</v>
      </c>
      <c r="E12" s="117" t="s">
        <v>312</v>
      </c>
      <c r="F12" s="117" t="s">
        <v>319</v>
      </c>
      <c r="G12" s="117" t="s">
        <v>320</v>
      </c>
      <c r="H12" s="117" t="s">
        <v>488</v>
      </c>
      <c r="I12" s="117" t="s">
        <v>459</v>
      </c>
      <c r="J12" s="117" t="s">
        <v>316</v>
      </c>
      <c r="K12" s="117" t="s">
        <v>317</v>
      </c>
      <c r="L12" s="117"/>
    </row>
    <row r="13" spans="1:12">
      <c r="A13" s="117" t="s">
        <v>446</v>
      </c>
      <c r="B13" s="115" t="s">
        <v>342</v>
      </c>
      <c r="C13" s="117" t="s">
        <v>309</v>
      </c>
      <c r="D13" s="117" t="s">
        <v>311</v>
      </c>
      <c r="E13" s="117" t="s">
        <v>312</v>
      </c>
      <c r="F13" s="117" t="s">
        <v>319</v>
      </c>
      <c r="G13" s="117" t="s">
        <v>320</v>
      </c>
      <c r="H13" s="117" t="s">
        <v>488</v>
      </c>
      <c r="I13" s="117" t="s">
        <v>459</v>
      </c>
      <c r="J13" s="117" t="s">
        <v>316</v>
      </c>
      <c r="K13" s="117" t="s">
        <v>317</v>
      </c>
      <c r="L13" s="117" t="s">
        <v>332</v>
      </c>
    </row>
    <row r="14" spans="1:12">
      <c r="A14" s="117" t="s">
        <v>446</v>
      </c>
      <c r="B14" s="116" t="s">
        <v>344</v>
      </c>
      <c r="C14" s="117" t="s">
        <v>309</v>
      </c>
      <c r="D14" s="117" t="s">
        <v>311</v>
      </c>
      <c r="E14" s="117" t="s">
        <v>312</v>
      </c>
      <c r="F14" s="117" t="s">
        <v>319</v>
      </c>
      <c r="G14" s="117" t="s">
        <v>320</v>
      </c>
      <c r="H14" s="117" t="s">
        <v>488</v>
      </c>
      <c r="I14" s="117" t="s">
        <v>315</v>
      </c>
      <c r="J14" s="117" t="s">
        <v>316</v>
      </c>
      <c r="K14" s="117" t="s">
        <v>317</v>
      </c>
      <c r="L14" s="117" t="s">
        <v>345</v>
      </c>
    </row>
    <row r="15" spans="1:12">
      <c r="A15" s="117" t="s">
        <v>446</v>
      </c>
      <c r="B15" s="116" t="s">
        <v>356</v>
      </c>
      <c r="C15" s="117" t="s">
        <v>309</v>
      </c>
      <c r="D15" s="117" t="s">
        <v>311</v>
      </c>
      <c r="E15" s="117" t="s">
        <v>319</v>
      </c>
      <c r="F15" s="117" t="s">
        <v>487</v>
      </c>
      <c r="G15" s="117" t="s">
        <v>314</v>
      </c>
      <c r="H15" s="117" t="s">
        <v>315</v>
      </c>
      <c r="I15" s="117" t="s">
        <v>316</v>
      </c>
      <c r="J15" s="117" t="s">
        <v>317</v>
      </c>
      <c r="K15" s="117"/>
      <c r="L15" s="117"/>
    </row>
    <row r="16" spans="1:12">
      <c r="A16" s="117" t="s">
        <v>463</v>
      </c>
      <c r="B16" s="117" t="s">
        <v>463</v>
      </c>
      <c r="C16" s="117" t="s">
        <v>483</v>
      </c>
      <c r="D16" s="117" t="s">
        <v>484</v>
      </c>
      <c r="E16" s="117" t="s">
        <v>485</v>
      </c>
      <c r="F16" s="117" t="s">
        <v>480</v>
      </c>
      <c r="G16" s="117" t="s">
        <v>481</v>
      </c>
      <c r="H16" s="117" t="s">
        <v>482</v>
      </c>
      <c r="I16" s="117" t="s">
        <v>337</v>
      </c>
      <c r="J16" s="117" t="s">
        <v>486</v>
      </c>
      <c r="K16" s="117" t="s">
        <v>317</v>
      </c>
      <c r="L16" s="117"/>
    </row>
    <row r="17" spans="1:12">
      <c r="A17" s="117" t="s">
        <v>456</v>
      </c>
      <c r="B17" s="116" t="s">
        <v>321</v>
      </c>
      <c r="C17" s="117" t="s">
        <v>309</v>
      </c>
      <c r="D17" s="117" t="s">
        <v>311</v>
      </c>
      <c r="E17" s="117" t="s">
        <v>312</v>
      </c>
      <c r="F17" s="117" t="s">
        <v>319</v>
      </c>
      <c r="G17" s="117" t="s">
        <v>320</v>
      </c>
      <c r="H17" s="117" t="s">
        <v>314</v>
      </c>
      <c r="I17" s="117" t="s">
        <v>316</v>
      </c>
      <c r="J17" s="117" t="s">
        <v>317</v>
      </c>
      <c r="K17" s="117"/>
      <c r="L17" s="117"/>
    </row>
    <row r="18" spans="1:12">
      <c r="A18" s="117" t="s">
        <v>456</v>
      </c>
      <c r="B18" s="116" t="s">
        <v>327</v>
      </c>
      <c r="C18" s="117" t="s">
        <v>309</v>
      </c>
      <c r="D18" s="117" t="s">
        <v>311</v>
      </c>
      <c r="E18" s="117" t="s">
        <v>312</v>
      </c>
      <c r="F18" s="117" t="s">
        <v>491</v>
      </c>
      <c r="G18" s="117" t="s">
        <v>492</v>
      </c>
      <c r="H18" s="117" t="s">
        <v>493</v>
      </c>
      <c r="I18" s="117" t="s">
        <v>319</v>
      </c>
      <c r="J18" s="117" t="s">
        <v>490</v>
      </c>
      <c r="K18" s="117" t="s">
        <v>316</v>
      </c>
      <c r="L18" s="117" t="s">
        <v>317</v>
      </c>
    </row>
    <row r="19" spans="1:12">
      <c r="A19" s="117" t="s">
        <v>456</v>
      </c>
      <c r="B19" s="116" t="s">
        <v>333</v>
      </c>
      <c r="C19" s="117" t="s">
        <v>309</v>
      </c>
      <c r="D19" s="117" t="s">
        <v>311</v>
      </c>
      <c r="E19" s="117" t="s">
        <v>313</v>
      </c>
      <c r="F19" s="117" t="s">
        <v>319</v>
      </c>
      <c r="G19" s="117" t="s">
        <v>320</v>
      </c>
      <c r="H19" s="117" t="s">
        <v>314</v>
      </c>
      <c r="I19" s="117" t="s">
        <v>316</v>
      </c>
      <c r="J19" s="117" t="s">
        <v>317</v>
      </c>
      <c r="K19" s="117"/>
      <c r="L19" s="117"/>
    </row>
    <row r="20" spans="1:12">
      <c r="A20" s="117" t="s">
        <v>456</v>
      </c>
      <c r="B20" s="116" t="s">
        <v>336</v>
      </c>
      <c r="C20" s="117" t="s">
        <v>309</v>
      </c>
      <c r="D20" s="117" t="s">
        <v>310</v>
      </c>
      <c r="E20" s="117" t="s">
        <v>311</v>
      </c>
      <c r="F20" s="117" t="s">
        <v>312</v>
      </c>
      <c r="G20" s="117" t="s">
        <v>319</v>
      </c>
      <c r="H20" s="117" t="s">
        <v>320</v>
      </c>
      <c r="I20" s="117" t="s">
        <v>314</v>
      </c>
      <c r="J20" s="117" t="s">
        <v>316</v>
      </c>
      <c r="K20" s="117" t="s">
        <v>317</v>
      </c>
      <c r="L20" s="117" t="s">
        <v>337</v>
      </c>
    </row>
    <row r="21" spans="1:12">
      <c r="A21" s="117" t="s">
        <v>456</v>
      </c>
      <c r="B21" s="115" t="s">
        <v>339</v>
      </c>
      <c r="C21" s="117" t="s">
        <v>309</v>
      </c>
      <c r="D21" s="117" t="s">
        <v>310</v>
      </c>
      <c r="E21" s="117" t="s">
        <v>311</v>
      </c>
      <c r="F21" s="117" t="s">
        <v>312</v>
      </c>
      <c r="G21" s="117" t="s">
        <v>319</v>
      </c>
      <c r="H21" s="117" t="s">
        <v>320</v>
      </c>
      <c r="I21" s="117" t="s">
        <v>489</v>
      </c>
      <c r="J21" s="117" t="s">
        <v>314</v>
      </c>
      <c r="K21" s="117" t="s">
        <v>316</v>
      </c>
      <c r="L21" s="117" t="s">
        <v>317</v>
      </c>
    </row>
    <row r="22" spans="1:12">
      <c r="A22" s="117" t="s">
        <v>456</v>
      </c>
      <c r="B22" s="116" t="s">
        <v>359</v>
      </c>
      <c r="C22" s="117" t="s">
        <v>309</v>
      </c>
      <c r="D22" s="117" t="s">
        <v>311</v>
      </c>
      <c r="E22" s="117" t="s">
        <v>312</v>
      </c>
      <c r="F22" s="117" t="s">
        <v>313</v>
      </c>
      <c r="G22" s="117" t="s">
        <v>319</v>
      </c>
      <c r="H22" s="117" t="s">
        <v>320</v>
      </c>
      <c r="I22" s="117" t="s">
        <v>489</v>
      </c>
      <c r="J22" s="117" t="s">
        <v>315</v>
      </c>
      <c r="K22" s="117" t="s">
        <v>316</v>
      </c>
      <c r="L22" s="117" t="s">
        <v>317</v>
      </c>
    </row>
    <row r="23" spans="1:12">
      <c r="A23" s="117" t="s">
        <v>456</v>
      </c>
      <c r="B23" s="115" t="s">
        <v>360</v>
      </c>
      <c r="C23" s="117" t="s">
        <v>309</v>
      </c>
      <c r="D23" s="117" t="s">
        <v>311</v>
      </c>
      <c r="E23" s="117" t="s">
        <v>312</v>
      </c>
      <c r="F23" s="117" t="s">
        <v>313</v>
      </c>
      <c r="G23" s="117" t="s">
        <v>319</v>
      </c>
      <c r="H23" s="117" t="s">
        <v>320</v>
      </c>
      <c r="I23" s="117" t="s">
        <v>489</v>
      </c>
      <c r="J23" s="117" t="s">
        <v>315</v>
      </c>
      <c r="K23" s="117" t="s">
        <v>316</v>
      </c>
      <c r="L23" s="117" t="s">
        <v>317</v>
      </c>
    </row>
    <row r="24" spans="1:12">
      <c r="A24" s="117" t="s">
        <v>456</v>
      </c>
      <c r="B24" s="115" t="s">
        <v>361</v>
      </c>
      <c r="C24" s="117" t="s">
        <v>309</v>
      </c>
      <c r="D24" s="117" t="s">
        <v>311</v>
      </c>
      <c r="E24" s="117" t="s">
        <v>312</v>
      </c>
      <c r="F24" s="117" t="s">
        <v>319</v>
      </c>
      <c r="G24" s="117" t="s">
        <v>320</v>
      </c>
      <c r="H24" s="117" t="s">
        <v>314</v>
      </c>
      <c r="I24" s="117" t="s">
        <v>316</v>
      </c>
      <c r="J24" s="117" t="s">
        <v>317</v>
      </c>
      <c r="K24" s="117"/>
      <c r="L24" s="117"/>
    </row>
    <row r="25" spans="1:12">
      <c r="A25" s="117" t="s">
        <v>456</v>
      </c>
      <c r="B25" s="116" t="s">
        <v>362</v>
      </c>
      <c r="C25" s="117" t="s">
        <v>309</v>
      </c>
      <c r="D25" s="117" t="s">
        <v>311</v>
      </c>
      <c r="E25" s="117" t="s">
        <v>312</v>
      </c>
      <c r="F25" s="117" t="s">
        <v>319</v>
      </c>
      <c r="G25" s="117" t="s">
        <v>320</v>
      </c>
      <c r="H25" s="117" t="s">
        <v>489</v>
      </c>
      <c r="I25" s="117" t="s">
        <v>314</v>
      </c>
      <c r="J25" s="117" t="s">
        <v>315</v>
      </c>
      <c r="K25" s="117" t="s">
        <v>316</v>
      </c>
      <c r="L25" s="117" t="s">
        <v>317</v>
      </c>
    </row>
    <row r="26" spans="1:12">
      <c r="A26" s="117" t="s">
        <v>456</v>
      </c>
      <c r="B26" s="116" t="s">
        <v>363</v>
      </c>
      <c r="C26" s="117" t="s">
        <v>309</v>
      </c>
      <c r="D26" s="117" t="s">
        <v>310</v>
      </c>
      <c r="E26" s="117" t="s">
        <v>311</v>
      </c>
      <c r="F26" s="117" t="s">
        <v>312</v>
      </c>
      <c r="G26" s="117" t="s">
        <v>319</v>
      </c>
      <c r="H26" s="117" t="s">
        <v>320</v>
      </c>
      <c r="I26" s="117" t="s">
        <v>314</v>
      </c>
      <c r="J26" s="117" t="s">
        <v>316</v>
      </c>
      <c r="K26" s="117" t="s">
        <v>317</v>
      </c>
      <c r="L26" s="117" t="s">
        <v>337</v>
      </c>
    </row>
    <row r="27" spans="1:12">
      <c r="A27" s="117" t="s">
        <v>456</v>
      </c>
      <c r="B27" s="116" t="s">
        <v>364</v>
      </c>
      <c r="C27" s="117" t="s">
        <v>309</v>
      </c>
      <c r="D27" s="117" t="s">
        <v>310</v>
      </c>
      <c r="E27" s="117" t="s">
        <v>311</v>
      </c>
      <c r="F27" s="117" t="s">
        <v>319</v>
      </c>
      <c r="G27" s="117" t="s">
        <v>320</v>
      </c>
      <c r="H27" s="117" t="s">
        <v>314</v>
      </c>
      <c r="I27" s="117" t="s">
        <v>315</v>
      </c>
      <c r="J27" s="117" t="s">
        <v>316</v>
      </c>
      <c r="K27" s="117" t="s">
        <v>317</v>
      </c>
      <c r="L27" s="117"/>
    </row>
    <row r="28" spans="1:12">
      <c r="A28" s="117" t="s">
        <v>456</v>
      </c>
      <c r="B28" s="115" t="s">
        <v>368</v>
      </c>
      <c r="C28" s="117" t="s">
        <v>309</v>
      </c>
      <c r="D28" s="117" t="s">
        <v>311</v>
      </c>
      <c r="E28" s="117" t="s">
        <v>312</v>
      </c>
      <c r="F28" s="117" t="s">
        <v>319</v>
      </c>
      <c r="G28" s="117" t="s">
        <v>320</v>
      </c>
      <c r="H28" s="117" t="s">
        <v>488</v>
      </c>
      <c r="I28" s="117" t="s">
        <v>314</v>
      </c>
      <c r="J28" s="117" t="s">
        <v>315</v>
      </c>
      <c r="K28" s="117" t="s">
        <v>316</v>
      </c>
      <c r="L28" s="117" t="s">
        <v>317</v>
      </c>
    </row>
    <row r="29" spans="1:12">
      <c r="A29" s="117" t="s">
        <v>449</v>
      </c>
      <c r="B29" s="116" t="s">
        <v>326</v>
      </c>
      <c r="C29" s="117" t="s">
        <v>309</v>
      </c>
      <c r="D29" s="117" t="s">
        <v>310</v>
      </c>
      <c r="E29" s="117" t="s">
        <v>311</v>
      </c>
      <c r="F29" s="117" t="s">
        <v>313</v>
      </c>
      <c r="G29" s="117" t="s">
        <v>488</v>
      </c>
      <c r="H29" s="117" t="s">
        <v>314</v>
      </c>
      <c r="I29" s="117" t="s">
        <v>316</v>
      </c>
      <c r="J29" s="117" t="s">
        <v>317</v>
      </c>
      <c r="K29" s="117"/>
      <c r="L29" s="117"/>
    </row>
    <row r="30" spans="1:12">
      <c r="A30" s="117" t="s">
        <v>449</v>
      </c>
      <c r="B30" s="115" t="s">
        <v>330</v>
      </c>
      <c r="C30" s="117" t="s">
        <v>309</v>
      </c>
      <c r="D30" s="117" t="s">
        <v>310</v>
      </c>
      <c r="E30" s="117" t="s">
        <v>311</v>
      </c>
      <c r="F30" s="117" t="s">
        <v>313</v>
      </c>
      <c r="G30" s="117" t="s">
        <v>488</v>
      </c>
      <c r="H30" s="117" t="s">
        <v>314</v>
      </c>
      <c r="I30" s="117" t="s">
        <v>316</v>
      </c>
      <c r="J30" s="117" t="s">
        <v>317</v>
      </c>
      <c r="K30" s="117"/>
      <c r="L30" s="117"/>
    </row>
    <row r="31" spans="1:12">
      <c r="A31" s="117" t="s">
        <v>449</v>
      </c>
      <c r="B31" s="115" t="s">
        <v>346</v>
      </c>
      <c r="C31" s="117" t="s">
        <v>309</v>
      </c>
      <c r="D31" s="117" t="s">
        <v>310</v>
      </c>
      <c r="E31" s="117" t="s">
        <v>311</v>
      </c>
      <c r="F31" s="117" t="s">
        <v>313</v>
      </c>
      <c r="G31" s="117" t="s">
        <v>488</v>
      </c>
      <c r="H31" s="117" t="s">
        <v>314</v>
      </c>
      <c r="I31" s="117" t="s">
        <v>316</v>
      </c>
      <c r="J31" s="117" t="s">
        <v>317</v>
      </c>
      <c r="K31" s="117"/>
      <c r="L31" s="117"/>
    </row>
    <row r="32" spans="1:12">
      <c r="A32" s="117" t="s">
        <v>449</v>
      </c>
      <c r="B32" s="115" t="s">
        <v>351</v>
      </c>
      <c r="C32" s="117" t="s">
        <v>309</v>
      </c>
      <c r="D32" s="117" t="s">
        <v>310</v>
      </c>
      <c r="E32" s="117" t="s">
        <v>311</v>
      </c>
      <c r="F32" s="117" t="s">
        <v>313</v>
      </c>
      <c r="G32" s="117" t="s">
        <v>488</v>
      </c>
      <c r="H32" s="117" t="s">
        <v>314</v>
      </c>
      <c r="I32" s="117" t="s">
        <v>316</v>
      </c>
      <c r="J32" s="117" t="s">
        <v>317</v>
      </c>
      <c r="K32" s="117"/>
      <c r="L32" s="117"/>
    </row>
    <row r="33" spans="1:12">
      <c r="A33" s="117" t="s">
        <v>449</v>
      </c>
      <c r="B33" s="116" t="s">
        <v>352</v>
      </c>
      <c r="C33" s="117" t="s">
        <v>309</v>
      </c>
      <c r="D33" s="117" t="s">
        <v>310</v>
      </c>
      <c r="E33" s="117" t="s">
        <v>311</v>
      </c>
      <c r="F33" s="117" t="s">
        <v>313</v>
      </c>
      <c r="G33" s="117" t="s">
        <v>488</v>
      </c>
      <c r="H33" s="117" t="s">
        <v>314</v>
      </c>
      <c r="I33" s="117" t="s">
        <v>316</v>
      </c>
      <c r="J33" s="117" t="s">
        <v>317</v>
      </c>
      <c r="K33" s="117"/>
      <c r="L33" s="117"/>
    </row>
    <row r="34" spans="1:12">
      <c r="A34" s="117" t="s">
        <v>449</v>
      </c>
      <c r="B34" s="116" t="s">
        <v>355</v>
      </c>
      <c r="C34" s="117" t="s">
        <v>309</v>
      </c>
      <c r="D34" s="117" t="s">
        <v>310</v>
      </c>
      <c r="E34" s="117" t="s">
        <v>311</v>
      </c>
      <c r="F34" s="117" t="s">
        <v>313</v>
      </c>
      <c r="G34" s="117" t="s">
        <v>488</v>
      </c>
      <c r="H34" s="117" t="s">
        <v>314</v>
      </c>
      <c r="I34" s="117" t="s">
        <v>316</v>
      </c>
      <c r="J34" s="117" t="s">
        <v>317</v>
      </c>
      <c r="K34" s="117"/>
      <c r="L34" s="117"/>
    </row>
    <row r="35" spans="1:12">
      <c r="A35" s="117" t="s">
        <v>449</v>
      </c>
      <c r="B35" s="115" t="s">
        <v>358</v>
      </c>
      <c r="C35" s="117" t="s">
        <v>309</v>
      </c>
      <c r="D35" s="117" t="s">
        <v>310</v>
      </c>
      <c r="E35" s="117" t="s">
        <v>311</v>
      </c>
      <c r="F35" s="117" t="s">
        <v>312</v>
      </c>
      <c r="G35" s="117" t="s">
        <v>313</v>
      </c>
      <c r="H35" s="117" t="s">
        <v>314</v>
      </c>
      <c r="I35" s="117" t="s">
        <v>316</v>
      </c>
      <c r="J35" s="117" t="s">
        <v>317</v>
      </c>
      <c r="K35" s="117"/>
      <c r="L35" s="117"/>
    </row>
    <row r="36" spans="1:12">
      <c r="A36" s="117" t="s">
        <v>449</v>
      </c>
      <c r="B36" s="115" t="s">
        <v>372</v>
      </c>
      <c r="C36" s="117" t="s">
        <v>309</v>
      </c>
      <c r="D36" s="117" t="s">
        <v>310</v>
      </c>
      <c r="E36" s="117" t="s">
        <v>311</v>
      </c>
      <c r="F36" s="117" t="s">
        <v>312</v>
      </c>
      <c r="G36" s="117" t="s">
        <v>313</v>
      </c>
      <c r="H36" s="117" t="s">
        <v>488</v>
      </c>
      <c r="I36" s="117" t="s">
        <v>314</v>
      </c>
      <c r="J36" s="117" t="s">
        <v>316</v>
      </c>
      <c r="K36" s="117" t="s">
        <v>317</v>
      </c>
      <c r="L36" s="117"/>
    </row>
    <row r="37" spans="1:12">
      <c r="A37" s="117" t="s">
        <v>450</v>
      </c>
      <c r="B37" s="115" t="s">
        <v>328</v>
      </c>
      <c r="C37" s="117" t="s">
        <v>309</v>
      </c>
      <c r="D37" s="117" t="s">
        <v>310</v>
      </c>
      <c r="E37" s="117" t="s">
        <v>311</v>
      </c>
      <c r="F37" s="117" t="s">
        <v>313</v>
      </c>
      <c r="G37" s="117" t="s">
        <v>488</v>
      </c>
      <c r="H37" s="117" t="s">
        <v>314</v>
      </c>
      <c r="I37" s="117" t="s">
        <v>316</v>
      </c>
      <c r="J37" s="117" t="s">
        <v>317</v>
      </c>
      <c r="K37" s="117" t="s">
        <v>329</v>
      </c>
      <c r="L37" s="117"/>
    </row>
    <row r="38" spans="1:12">
      <c r="A38" s="117" t="s">
        <v>450</v>
      </c>
      <c r="B38" s="115" t="s">
        <v>334</v>
      </c>
      <c r="C38" s="117" t="s">
        <v>309</v>
      </c>
      <c r="D38" s="117" t="s">
        <v>310</v>
      </c>
      <c r="E38" s="117" t="s">
        <v>311</v>
      </c>
      <c r="F38" s="117" t="s">
        <v>313</v>
      </c>
      <c r="G38" s="117" t="s">
        <v>488</v>
      </c>
      <c r="H38" s="117" t="s">
        <v>314</v>
      </c>
      <c r="I38" s="117" t="s">
        <v>316</v>
      </c>
      <c r="J38" s="117" t="s">
        <v>317</v>
      </c>
      <c r="K38" s="117" t="s">
        <v>325</v>
      </c>
      <c r="L38" s="117"/>
    </row>
    <row r="39" spans="1:12">
      <c r="A39" s="117" t="s">
        <v>450</v>
      </c>
      <c r="B39" s="116" t="s">
        <v>335</v>
      </c>
      <c r="C39" s="117" t="s">
        <v>309</v>
      </c>
      <c r="D39" s="117" t="s">
        <v>310</v>
      </c>
      <c r="E39" s="117" t="s">
        <v>311</v>
      </c>
      <c r="F39" s="117" t="s">
        <v>313</v>
      </c>
      <c r="G39" s="117" t="s">
        <v>488</v>
      </c>
      <c r="H39" s="117" t="s">
        <v>314</v>
      </c>
      <c r="I39" s="117" t="s">
        <v>316</v>
      </c>
      <c r="J39" s="117" t="s">
        <v>317</v>
      </c>
      <c r="K39" s="117" t="s">
        <v>325</v>
      </c>
      <c r="L39" s="117"/>
    </row>
    <row r="40" spans="1:12">
      <c r="A40" s="117" t="s">
        <v>450</v>
      </c>
      <c r="B40" s="115" t="s">
        <v>370</v>
      </c>
      <c r="C40" s="117" t="s">
        <v>309</v>
      </c>
      <c r="D40" s="117" t="s">
        <v>310</v>
      </c>
      <c r="E40" s="117" t="s">
        <v>311</v>
      </c>
      <c r="F40" s="117" t="s">
        <v>313</v>
      </c>
      <c r="G40" s="117" t="s">
        <v>488</v>
      </c>
      <c r="H40" s="117" t="s">
        <v>314</v>
      </c>
      <c r="I40" s="117" t="s">
        <v>316</v>
      </c>
      <c r="J40" s="117" t="s">
        <v>317</v>
      </c>
      <c r="K40" s="117" t="s">
        <v>329</v>
      </c>
      <c r="L40" s="117"/>
    </row>
    <row r="41" spans="1:12">
      <c r="A41" s="117" t="s">
        <v>453</v>
      </c>
      <c r="B41" s="115" t="s">
        <v>308</v>
      </c>
      <c r="C41" s="117" t="s">
        <v>309</v>
      </c>
      <c r="D41" s="117" t="s">
        <v>310</v>
      </c>
      <c r="E41" s="117" t="s">
        <v>311</v>
      </c>
      <c r="F41" s="117" t="s">
        <v>312</v>
      </c>
      <c r="G41" s="117" t="s">
        <v>313</v>
      </c>
      <c r="H41" s="117" t="s">
        <v>488</v>
      </c>
      <c r="I41" s="117" t="s">
        <v>314</v>
      </c>
      <c r="J41" s="117" t="s">
        <v>315</v>
      </c>
      <c r="K41" s="117" t="s">
        <v>316</v>
      </c>
      <c r="L41" s="117" t="s">
        <v>317</v>
      </c>
    </row>
    <row r="42" spans="1:12">
      <c r="A42" s="117" t="s">
        <v>453</v>
      </c>
      <c r="B42" s="115" t="s">
        <v>343</v>
      </c>
      <c r="C42" s="117" t="s">
        <v>309</v>
      </c>
      <c r="D42" s="117" t="s">
        <v>310</v>
      </c>
      <c r="E42" s="117" t="s">
        <v>311</v>
      </c>
      <c r="F42" s="117" t="s">
        <v>313</v>
      </c>
      <c r="G42" s="117" t="s">
        <v>488</v>
      </c>
      <c r="H42" s="117" t="s">
        <v>314</v>
      </c>
      <c r="I42" s="117" t="s">
        <v>315</v>
      </c>
      <c r="J42" s="117" t="s">
        <v>316</v>
      </c>
      <c r="K42" s="117" t="s">
        <v>317</v>
      </c>
      <c r="L42" s="117" t="s">
        <v>332</v>
      </c>
    </row>
    <row r="43" spans="1:12">
      <c r="A43" s="117" t="s">
        <v>453</v>
      </c>
      <c r="B43" s="115" t="s">
        <v>353</v>
      </c>
      <c r="C43" s="117" t="s">
        <v>309</v>
      </c>
      <c r="D43" s="117" t="s">
        <v>310</v>
      </c>
      <c r="E43" s="117" t="s">
        <v>311</v>
      </c>
      <c r="F43" s="117" t="s">
        <v>312</v>
      </c>
      <c r="G43" s="117" t="s">
        <v>313</v>
      </c>
      <c r="H43" s="117" t="s">
        <v>319</v>
      </c>
      <c r="I43" s="117" t="s">
        <v>320</v>
      </c>
      <c r="J43" s="117" t="s">
        <v>488</v>
      </c>
      <c r="K43" s="117" t="s">
        <v>316</v>
      </c>
      <c r="L43" s="117" t="s">
        <v>317</v>
      </c>
    </row>
    <row r="44" spans="1:12">
      <c r="A44" s="117" t="s">
        <v>451</v>
      </c>
      <c r="B44" s="115" t="s">
        <v>338</v>
      </c>
      <c r="C44" s="117" t="s">
        <v>309</v>
      </c>
      <c r="D44" s="117" t="s">
        <v>311</v>
      </c>
      <c r="E44" s="117" t="s">
        <v>312</v>
      </c>
      <c r="F44" s="117" t="s">
        <v>319</v>
      </c>
      <c r="G44" s="117" t="s">
        <v>320</v>
      </c>
      <c r="H44" s="117" t="s">
        <v>316</v>
      </c>
      <c r="I44" s="117" t="s">
        <v>317</v>
      </c>
      <c r="J44" s="117" t="s">
        <v>337</v>
      </c>
      <c r="K44" s="117"/>
      <c r="L44" s="117"/>
    </row>
    <row r="45" spans="1:12">
      <c r="A45" s="117" t="s">
        <v>451</v>
      </c>
      <c r="B45" s="115" t="s">
        <v>347</v>
      </c>
      <c r="C45" s="117" t="s">
        <v>309</v>
      </c>
      <c r="D45" s="117" t="s">
        <v>310</v>
      </c>
      <c r="E45" s="117" t="s">
        <v>311</v>
      </c>
      <c r="F45" s="117" t="s">
        <v>312</v>
      </c>
      <c r="G45" s="117" t="s">
        <v>319</v>
      </c>
      <c r="H45" s="117" t="s">
        <v>320</v>
      </c>
      <c r="I45" s="117" t="s">
        <v>316</v>
      </c>
      <c r="J45" s="117" t="s">
        <v>317</v>
      </c>
      <c r="K45" s="117" t="s">
        <v>348</v>
      </c>
      <c r="L45" s="117"/>
    </row>
    <row r="46" spans="1:12">
      <c r="A46" s="117" t="s">
        <v>451</v>
      </c>
      <c r="B46" s="115" t="s">
        <v>354</v>
      </c>
      <c r="C46" s="117" t="s">
        <v>310</v>
      </c>
      <c r="D46" s="117" t="s">
        <v>311</v>
      </c>
      <c r="E46" s="117" t="s">
        <v>312</v>
      </c>
      <c r="F46" s="117" t="s">
        <v>316</v>
      </c>
      <c r="G46" s="117" t="s">
        <v>317</v>
      </c>
      <c r="H46" s="117"/>
      <c r="I46" s="117"/>
      <c r="J46" s="117"/>
      <c r="K46" s="117"/>
      <c r="L46" s="117"/>
    </row>
    <row r="47" spans="1:12">
      <c r="A47" s="117" t="s">
        <v>451</v>
      </c>
      <c r="B47" s="116" t="s">
        <v>365</v>
      </c>
      <c r="C47" s="117" t="s">
        <v>309</v>
      </c>
      <c r="D47" s="117" t="s">
        <v>310</v>
      </c>
      <c r="E47" s="117" t="s">
        <v>311</v>
      </c>
      <c r="F47" s="117" t="s">
        <v>312</v>
      </c>
      <c r="G47" s="117" t="s">
        <v>319</v>
      </c>
      <c r="H47" s="117" t="s">
        <v>320</v>
      </c>
      <c r="I47" s="117" t="s">
        <v>314</v>
      </c>
      <c r="J47" s="117" t="s">
        <v>316</v>
      </c>
      <c r="K47" s="117" t="s">
        <v>317</v>
      </c>
      <c r="L47" s="117" t="s">
        <v>337</v>
      </c>
    </row>
    <row r="48" spans="1:12">
      <c r="A48" s="117" t="s">
        <v>451</v>
      </c>
      <c r="B48" s="115" t="s">
        <v>366</v>
      </c>
      <c r="C48" s="117" t="s">
        <v>309</v>
      </c>
      <c r="D48" s="117" t="s">
        <v>310</v>
      </c>
      <c r="E48" s="117" t="s">
        <v>311</v>
      </c>
      <c r="F48" s="117" t="s">
        <v>312</v>
      </c>
      <c r="G48" s="117" t="s">
        <v>319</v>
      </c>
      <c r="H48" s="117" t="s">
        <v>320</v>
      </c>
      <c r="I48" s="117" t="s">
        <v>314</v>
      </c>
      <c r="J48" s="117" t="s">
        <v>316</v>
      </c>
      <c r="K48" s="117" t="s">
        <v>317</v>
      </c>
      <c r="L48" s="117" t="s">
        <v>337</v>
      </c>
    </row>
    <row r="49" spans="1:12">
      <c r="A49" s="117" t="s">
        <v>451</v>
      </c>
      <c r="B49" s="115" t="s">
        <v>369</v>
      </c>
      <c r="C49" s="117" t="s">
        <v>309</v>
      </c>
      <c r="D49" s="117" t="s">
        <v>310</v>
      </c>
      <c r="E49" s="117" t="s">
        <v>311</v>
      </c>
      <c r="F49" s="117" t="s">
        <v>312</v>
      </c>
      <c r="G49" s="117" t="s">
        <v>319</v>
      </c>
      <c r="H49" s="117" t="s">
        <v>320</v>
      </c>
      <c r="I49" s="117" t="s">
        <v>314</v>
      </c>
      <c r="J49" s="117" t="s">
        <v>316</v>
      </c>
      <c r="K49" s="117" t="s">
        <v>317</v>
      </c>
      <c r="L49" s="117" t="s">
        <v>337</v>
      </c>
    </row>
    <row r="50" spans="1:12">
      <c r="A50" s="117" t="s">
        <v>452</v>
      </c>
      <c r="B50" s="115" t="s">
        <v>318</v>
      </c>
      <c r="C50" s="117" t="s">
        <v>309</v>
      </c>
      <c r="D50" s="117" t="s">
        <v>311</v>
      </c>
      <c r="E50" s="117" t="s">
        <v>313</v>
      </c>
      <c r="F50" s="117" t="s">
        <v>319</v>
      </c>
      <c r="G50" s="117" t="s">
        <v>320</v>
      </c>
      <c r="H50" s="117" t="s">
        <v>488</v>
      </c>
      <c r="I50" s="117" t="s">
        <v>314</v>
      </c>
      <c r="J50" s="117" t="s">
        <v>315</v>
      </c>
      <c r="K50" s="117" t="s">
        <v>316</v>
      </c>
      <c r="L50" s="117" t="s">
        <v>317</v>
      </c>
    </row>
    <row r="51" spans="1:12">
      <c r="A51" s="117" t="s">
        <v>452</v>
      </c>
      <c r="B51" s="116" t="s">
        <v>324</v>
      </c>
      <c r="C51" s="117" t="s">
        <v>309</v>
      </c>
      <c r="D51" s="117" t="s">
        <v>310</v>
      </c>
      <c r="E51" s="117" t="s">
        <v>311</v>
      </c>
      <c r="F51" s="117" t="s">
        <v>313</v>
      </c>
      <c r="G51" s="117" t="s">
        <v>488</v>
      </c>
      <c r="H51" s="117" t="s">
        <v>314</v>
      </c>
      <c r="I51" s="117" t="s">
        <v>315</v>
      </c>
      <c r="J51" s="117" t="s">
        <v>316</v>
      </c>
      <c r="K51" s="117" t="s">
        <v>317</v>
      </c>
      <c r="L51" s="117" t="s">
        <v>325</v>
      </c>
    </row>
    <row r="52" spans="1:12">
      <c r="A52" s="117" t="s">
        <v>452</v>
      </c>
      <c r="B52" s="115" t="s">
        <v>349</v>
      </c>
      <c r="C52" s="117" t="s">
        <v>309</v>
      </c>
      <c r="D52" s="117" t="s">
        <v>310</v>
      </c>
      <c r="E52" s="117" t="s">
        <v>311</v>
      </c>
      <c r="F52" s="117" t="s">
        <v>313</v>
      </c>
      <c r="G52" s="117" t="s">
        <v>488</v>
      </c>
      <c r="H52" s="117" t="s">
        <v>314</v>
      </c>
      <c r="I52" s="117" t="s">
        <v>315</v>
      </c>
      <c r="J52" s="117" t="s">
        <v>316</v>
      </c>
      <c r="K52" s="117" t="s">
        <v>317</v>
      </c>
      <c r="L52" s="117" t="s">
        <v>325</v>
      </c>
    </row>
    <row r="53" spans="1:12">
      <c r="A53" s="117" t="s">
        <v>452</v>
      </c>
      <c r="B53" s="115" t="s">
        <v>350</v>
      </c>
      <c r="C53" s="117" t="s">
        <v>309</v>
      </c>
      <c r="D53" s="117" t="s">
        <v>310</v>
      </c>
      <c r="E53" s="117" t="s">
        <v>311</v>
      </c>
      <c r="F53" s="117" t="s">
        <v>313</v>
      </c>
      <c r="G53" s="117" t="s">
        <v>319</v>
      </c>
      <c r="H53" s="117" t="s">
        <v>320</v>
      </c>
      <c r="I53" s="117" t="s">
        <v>488</v>
      </c>
      <c r="J53" s="117" t="s">
        <v>314</v>
      </c>
      <c r="K53" s="117" t="s">
        <v>316</v>
      </c>
      <c r="L53" s="117" t="s">
        <v>317</v>
      </c>
    </row>
    <row r="54" spans="1:12">
      <c r="A54" s="117" t="s">
        <v>452</v>
      </c>
      <c r="B54" s="116" t="s">
        <v>357</v>
      </c>
      <c r="C54" s="117" t="s">
        <v>309</v>
      </c>
      <c r="D54" s="117" t="s">
        <v>310</v>
      </c>
      <c r="E54" s="117" t="s">
        <v>311</v>
      </c>
      <c r="F54" s="117" t="s">
        <v>312</v>
      </c>
      <c r="G54" s="117" t="s">
        <v>488</v>
      </c>
      <c r="H54" s="117" t="s">
        <v>314</v>
      </c>
      <c r="I54" s="117" t="s">
        <v>315</v>
      </c>
      <c r="J54" s="117" t="s">
        <v>316</v>
      </c>
      <c r="K54" s="117" t="s">
        <v>317</v>
      </c>
      <c r="L54" s="117"/>
    </row>
    <row r="55" spans="1:12">
      <c r="A55" s="117" t="s">
        <v>452</v>
      </c>
      <c r="B55" s="115" t="s">
        <v>367</v>
      </c>
      <c r="C55" s="117" t="s">
        <v>309</v>
      </c>
      <c r="D55" s="117" t="s">
        <v>310</v>
      </c>
      <c r="E55" s="117" t="s">
        <v>311</v>
      </c>
      <c r="F55" s="117" t="s">
        <v>313</v>
      </c>
      <c r="G55" s="117" t="s">
        <v>319</v>
      </c>
      <c r="H55" s="117" t="s">
        <v>488</v>
      </c>
      <c r="I55" s="117" t="s">
        <v>314</v>
      </c>
      <c r="J55" s="117" t="s">
        <v>315</v>
      </c>
      <c r="K55" s="117" t="s">
        <v>316</v>
      </c>
      <c r="L55" s="117" t="s">
        <v>317</v>
      </c>
    </row>
    <row r="56" spans="1:12">
      <c r="A56" s="117" t="s">
        <v>452</v>
      </c>
      <c r="B56" s="115" t="s">
        <v>371</v>
      </c>
      <c r="C56" s="117" t="s">
        <v>309</v>
      </c>
      <c r="D56" s="117" t="s">
        <v>310</v>
      </c>
      <c r="E56" s="117" t="s">
        <v>311</v>
      </c>
      <c r="F56" s="117" t="s">
        <v>313</v>
      </c>
      <c r="G56" s="117" t="s">
        <v>319</v>
      </c>
      <c r="H56" s="117" t="s">
        <v>488</v>
      </c>
      <c r="I56" s="117" t="s">
        <v>314</v>
      </c>
      <c r="J56" s="117" t="s">
        <v>315</v>
      </c>
      <c r="K56" s="117" t="s">
        <v>316</v>
      </c>
      <c r="L56" s="117" t="s">
        <v>317</v>
      </c>
    </row>
    <row r="62" spans="1:12">
      <c r="A62" s="117" t="s">
        <v>447</v>
      </c>
      <c r="B62" s="117" t="s">
        <v>278</v>
      </c>
      <c r="D62" s="113" t="s">
        <v>268</v>
      </c>
      <c r="E62" s="117" t="s">
        <v>447</v>
      </c>
    </row>
    <row r="63" spans="1:12">
      <c r="A63" s="117" t="s">
        <v>464</v>
      </c>
      <c r="B63" s="117" t="s">
        <v>411</v>
      </c>
      <c r="D63" s="117" t="s">
        <v>446</v>
      </c>
      <c r="E63" s="149" t="s">
        <v>464</v>
      </c>
    </row>
    <row r="64" spans="1:12">
      <c r="A64" s="117" t="s">
        <v>464</v>
      </c>
      <c r="B64" s="117" t="s">
        <v>373</v>
      </c>
      <c r="D64" s="117" t="s">
        <v>463</v>
      </c>
      <c r="E64" s="117" t="s">
        <v>454</v>
      </c>
    </row>
    <row r="65" spans="1:5">
      <c r="A65" s="117" t="s">
        <v>464</v>
      </c>
      <c r="B65" s="117" t="s">
        <v>444</v>
      </c>
      <c r="D65" s="117" t="s">
        <v>456</v>
      </c>
      <c r="E65" s="117" t="s">
        <v>455</v>
      </c>
    </row>
    <row r="66" spans="1:5">
      <c r="A66" s="117" t="s">
        <v>464</v>
      </c>
      <c r="B66" s="117" t="s">
        <v>466</v>
      </c>
      <c r="D66" s="117" t="s">
        <v>449</v>
      </c>
    </row>
    <row r="67" spans="1:5">
      <c r="A67" s="117" t="s">
        <v>464</v>
      </c>
      <c r="B67" s="117" t="s">
        <v>374</v>
      </c>
      <c r="D67" s="117" t="s">
        <v>450</v>
      </c>
      <c r="E67" s="113"/>
    </row>
    <row r="68" spans="1:5">
      <c r="A68" s="117" t="s">
        <v>464</v>
      </c>
      <c r="B68" s="117" t="s">
        <v>467</v>
      </c>
      <c r="D68" s="117" t="s">
        <v>453</v>
      </c>
      <c r="E68" s="113"/>
    </row>
    <row r="69" spans="1:5">
      <c r="A69" s="117" t="s">
        <v>464</v>
      </c>
      <c r="B69" s="117" t="s">
        <v>468</v>
      </c>
      <c r="D69" s="117" t="s">
        <v>451</v>
      </c>
      <c r="E69" s="113"/>
    </row>
    <row r="70" spans="1:5">
      <c r="A70" s="117" t="s">
        <v>464</v>
      </c>
      <c r="B70" s="117" t="s">
        <v>377</v>
      </c>
      <c r="D70" s="117" t="s">
        <v>452</v>
      </c>
    </row>
    <row r="71" spans="1:5">
      <c r="A71" s="117" t="s">
        <v>464</v>
      </c>
      <c r="B71" s="117" t="s">
        <v>469</v>
      </c>
    </row>
    <row r="72" spans="1:5">
      <c r="A72" s="117" t="s">
        <v>464</v>
      </c>
      <c r="B72" s="117" t="s">
        <v>382</v>
      </c>
    </row>
    <row r="73" spans="1:5">
      <c r="A73" s="117" t="s">
        <v>464</v>
      </c>
      <c r="B73" s="117" t="s">
        <v>435</v>
      </c>
    </row>
    <row r="74" spans="1:5">
      <c r="A74" s="117" t="s">
        <v>464</v>
      </c>
      <c r="B74" s="117" t="s">
        <v>384</v>
      </c>
    </row>
    <row r="75" spans="1:5">
      <c r="A75" s="117" t="s">
        <v>464</v>
      </c>
      <c r="B75" s="117" t="s">
        <v>470</v>
      </c>
    </row>
    <row r="76" spans="1:5">
      <c r="A76" s="117" t="s">
        <v>464</v>
      </c>
      <c r="B76" s="117" t="s">
        <v>471</v>
      </c>
    </row>
    <row r="77" spans="1:5">
      <c r="A77" s="117" t="s">
        <v>464</v>
      </c>
      <c r="B77" s="117" t="s">
        <v>472</v>
      </c>
    </row>
    <row r="78" spans="1:5">
      <c r="A78" s="117" t="s">
        <v>464</v>
      </c>
      <c r="B78" s="117" t="s">
        <v>473</v>
      </c>
    </row>
    <row r="79" spans="1:5">
      <c r="A79" s="117" t="s">
        <v>464</v>
      </c>
      <c r="B79" s="117" t="s">
        <v>392</v>
      </c>
    </row>
    <row r="80" spans="1:5">
      <c r="A80" s="117" t="s">
        <v>464</v>
      </c>
      <c r="B80" s="117" t="s">
        <v>474</v>
      </c>
    </row>
    <row r="81" spans="1:2">
      <c r="A81" s="117" t="s">
        <v>464</v>
      </c>
      <c r="B81" s="117" t="s">
        <v>475</v>
      </c>
    </row>
    <row r="82" spans="1:2">
      <c r="A82" s="117" t="s">
        <v>464</v>
      </c>
      <c r="B82" s="117" t="s">
        <v>394</v>
      </c>
    </row>
    <row r="83" spans="1:2">
      <c r="A83" s="117" t="s">
        <v>464</v>
      </c>
      <c r="B83" s="117" t="s">
        <v>396</v>
      </c>
    </row>
    <row r="84" spans="1:2">
      <c r="A84" s="117" t="s">
        <v>464</v>
      </c>
      <c r="B84" s="117" t="s">
        <v>428</v>
      </c>
    </row>
    <row r="85" spans="1:2">
      <c r="A85" s="117" t="s">
        <v>464</v>
      </c>
      <c r="B85" s="117" t="s">
        <v>465</v>
      </c>
    </row>
    <row r="86" spans="1:2">
      <c r="A86" s="117" t="s">
        <v>464</v>
      </c>
      <c r="B86" s="117" t="s">
        <v>476</v>
      </c>
    </row>
    <row r="87" spans="1:2">
      <c r="A87" s="117" t="s">
        <v>464</v>
      </c>
      <c r="B87" s="117" t="s">
        <v>397</v>
      </c>
    </row>
    <row r="88" spans="1:2">
      <c r="A88" s="117" t="s">
        <v>464</v>
      </c>
      <c r="B88" s="117" t="s">
        <v>477</v>
      </c>
    </row>
    <row r="89" spans="1:2">
      <c r="A89" s="117" t="s">
        <v>464</v>
      </c>
      <c r="B89" s="117" t="s">
        <v>401</v>
      </c>
    </row>
    <row r="90" spans="1:2">
      <c r="A90" s="117" t="s">
        <v>464</v>
      </c>
      <c r="B90" s="117" t="s">
        <v>378</v>
      </c>
    </row>
    <row r="91" spans="1:2">
      <c r="A91" s="117" t="s">
        <v>464</v>
      </c>
      <c r="B91" s="117" t="s">
        <v>426</v>
      </c>
    </row>
    <row r="92" spans="1:2">
      <c r="A92" s="117" t="s">
        <v>464</v>
      </c>
      <c r="B92" s="117" t="s">
        <v>402</v>
      </c>
    </row>
    <row r="93" spans="1:2">
      <c r="A93" s="117" t="s">
        <v>464</v>
      </c>
      <c r="B93" s="117" t="s">
        <v>479</v>
      </c>
    </row>
    <row r="94" spans="1:2">
      <c r="A94" s="117" t="s">
        <v>464</v>
      </c>
      <c r="B94" s="117" t="s">
        <v>405</v>
      </c>
    </row>
    <row r="95" spans="1:2">
      <c r="A95" s="117" t="s">
        <v>464</v>
      </c>
      <c r="B95" s="117" t="s">
        <v>407</v>
      </c>
    </row>
    <row r="96" spans="1:2">
      <c r="A96" s="117" t="s">
        <v>464</v>
      </c>
      <c r="B96" s="117" t="s">
        <v>408</v>
      </c>
    </row>
    <row r="97" spans="1:2">
      <c r="A97" s="117" t="s">
        <v>464</v>
      </c>
      <c r="B97" s="117" t="s">
        <v>409</v>
      </c>
    </row>
    <row r="98" spans="1:2">
      <c r="A98" s="117" t="s">
        <v>464</v>
      </c>
      <c r="B98" s="117" t="s">
        <v>416</v>
      </c>
    </row>
    <row r="99" spans="1:2">
      <c r="A99" s="117" t="s">
        <v>464</v>
      </c>
      <c r="B99" s="117" t="s">
        <v>419</v>
      </c>
    </row>
    <row r="100" spans="1:2">
      <c r="A100" s="117" t="s">
        <v>464</v>
      </c>
      <c r="B100" s="117" t="s">
        <v>412</v>
      </c>
    </row>
    <row r="101" spans="1:2">
      <c r="A101" s="117" t="s">
        <v>464</v>
      </c>
      <c r="B101" s="117" t="s">
        <v>478</v>
      </c>
    </row>
    <row r="102" spans="1:2">
      <c r="A102" s="117" t="s">
        <v>454</v>
      </c>
      <c r="B102" s="117" t="s">
        <v>445</v>
      </c>
    </row>
    <row r="103" spans="1:2">
      <c r="A103" s="117" t="s">
        <v>454</v>
      </c>
      <c r="B103" s="117" t="s">
        <v>375</v>
      </c>
    </row>
    <row r="104" spans="1:2">
      <c r="A104" s="117" t="s">
        <v>454</v>
      </c>
      <c r="B104" s="117" t="s">
        <v>376</v>
      </c>
    </row>
    <row r="105" spans="1:2">
      <c r="A105" s="117" t="s">
        <v>454</v>
      </c>
      <c r="B105" s="117" t="s">
        <v>440</v>
      </c>
    </row>
    <row r="106" spans="1:2">
      <c r="A106" s="117" t="s">
        <v>454</v>
      </c>
      <c r="B106" s="117" t="s">
        <v>438</v>
      </c>
    </row>
    <row r="107" spans="1:2">
      <c r="A107" s="117" t="s">
        <v>454</v>
      </c>
      <c r="B107" s="117" t="s">
        <v>436</v>
      </c>
    </row>
    <row r="108" spans="1:2">
      <c r="A108" s="117" t="s">
        <v>454</v>
      </c>
      <c r="B108" s="117" t="s">
        <v>380</v>
      </c>
    </row>
    <row r="109" spans="1:2">
      <c r="A109" s="117" t="s">
        <v>454</v>
      </c>
      <c r="B109" s="117" t="s">
        <v>381</v>
      </c>
    </row>
    <row r="110" spans="1:2">
      <c r="A110" s="117" t="s">
        <v>454</v>
      </c>
      <c r="B110" s="117" t="s">
        <v>383</v>
      </c>
    </row>
    <row r="111" spans="1:2">
      <c r="A111" s="117" t="s">
        <v>454</v>
      </c>
      <c r="B111" s="117" t="s">
        <v>389</v>
      </c>
    </row>
    <row r="112" spans="1:2">
      <c r="A112" s="117" t="s">
        <v>454</v>
      </c>
      <c r="B112" s="117" t="s">
        <v>391</v>
      </c>
    </row>
    <row r="113" spans="1:2">
      <c r="A113" s="117" t="s">
        <v>454</v>
      </c>
      <c r="B113" s="117" t="s">
        <v>432</v>
      </c>
    </row>
    <row r="114" spans="1:2">
      <c r="A114" s="117" t="s">
        <v>454</v>
      </c>
      <c r="B114" s="117" t="s">
        <v>430</v>
      </c>
    </row>
    <row r="115" spans="1:2">
      <c r="A115" s="117" t="s">
        <v>454</v>
      </c>
      <c r="B115" s="117" t="s">
        <v>429</v>
      </c>
    </row>
    <row r="116" spans="1:2">
      <c r="A116" s="117" t="s">
        <v>454</v>
      </c>
      <c r="B116" s="117" t="s">
        <v>398</v>
      </c>
    </row>
    <row r="117" spans="1:2">
      <c r="A117" s="117" t="s">
        <v>454</v>
      </c>
      <c r="B117" s="117" t="s">
        <v>427</v>
      </c>
    </row>
    <row r="118" spans="1:2">
      <c r="A118" s="117" t="s">
        <v>454</v>
      </c>
      <c r="B118" s="117" t="s">
        <v>425</v>
      </c>
    </row>
    <row r="119" spans="1:2">
      <c r="A119" s="117" t="s">
        <v>454</v>
      </c>
      <c r="B119" s="117" t="s">
        <v>403</v>
      </c>
    </row>
    <row r="120" spans="1:2">
      <c r="A120" s="117" t="s">
        <v>454</v>
      </c>
      <c r="B120" s="117" t="s">
        <v>406</v>
      </c>
    </row>
    <row r="121" spans="1:2">
      <c r="A121" s="117" t="s">
        <v>454</v>
      </c>
      <c r="B121" s="117" t="s">
        <v>390</v>
      </c>
    </row>
    <row r="122" spans="1:2">
      <c r="A122" s="117" t="s">
        <v>454</v>
      </c>
      <c r="B122" s="117" t="s">
        <v>422</v>
      </c>
    </row>
    <row r="123" spans="1:2">
      <c r="A123" s="117" t="s">
        <v>454</v>
      </c>
      <c r="B123" s="117" t="s">
        <v>420</v>
      </c>
    </row>
    <row r="124" spans="1:2">
      <c r="A124" s="117" t="s">
        <v>455</v>
      </c>
      <c r="B124" s="117" t="s">
        <v>443</v>
      </c>
    </row>
    <row r="125" spans="1:2">
      <c r="A125" s="117" t="s">
        <v>455</v>
      </c>
      <c r="B125" s="117" t="s">
        <v>442</v>
      </c>
    </row>
    <row r="126" spans="1:2">
      <c r="A126" s="117" t="s">
        <v>455</v>
      </c>
      <c r="B126" s="117" t="s">
        <v>404</v>
      </c>
    </row>
    <row r="127" spans="1:2">
      <c r="A127" s="117" t="s">
        <v>455</v>
      </c>
      <c r="B127" s="117" t="s">
        <v>441</v>
      </c>
    </row>
    <row r="128" spans="1:2">
      <c r="A128" s="117" t="s">
        <v>455</v>
      </c>
      <c r="B128" s="117" t="s">
        <v>439</v>
      </c>
    </row>
    <row r="129" spans="1:2">
      <c r="A129" s="117" t="s">
        <v>455</v>
      </c>
      <c r="B129" s="117" t="s">
        <v>379</v>
      </c>
    </row>
    <row r="130" spans="1:2">
      <c r="A130" s="117" t="s">
        <v>455</v>
      </c>
      <c r="B130" s="117" t="s">
        <v>437</v>
      </c>
    </row>
    <row r="131" spans="1:2">
      <c r="A131" s="117" t="s">
        <v>455</v>
      </c>
      <c r="B131" s="117" t="s">
        <v>388</v>
      </c>
    </row>
    <row r="132" spans="1:2">
      <c r="A132" s="117" t="s">
        <v>455</v>
      </c>
      <c r="B132" s="117" t="s">
        <v>410</v>
      </c>
    </row>
    <row r="133" spans="1:2">
      <c r="A133" s="117" t="s">
        <v>455</v>
      </c>
      <c r="B133" s="117" t="s">
        <v>386</v>
      </c>
    </row>
    <row r="134" spans="1:2">
      <c r="A134" s="117" t="s">
        <v>455</v>
      </c>
      <c r="B134" s="117" t="s">
        <v>387</v>
      </c>
    </row>
    <row r="135" spans="1:2">
      <c r="A135" s="117" t="s">
        <v>455</v>
      </c>
      <c r="B135" s="117" t="s">
        <v>415</v>
      </c>
    </row>
    <row r="136" spans="1:2">
      <c r="A136" s="117" t="s">
        <v>455</v>
      </c>
      <c r="B136" s="117" t="s">
        <v>434</v>
      </c>
    </row>
    <row r="137" spans="1:2">
      <c r="A137" s="117" t="s">
        <v>455</v>
      </c>
      <c r="B137" s="117" t="s">
        <v>433</v>
      </c>
    </row>
    <row r="138" spans="1:2">
      <c r="A138" s="117" t="s">
        <v>455</v>
      </c>
      <c r="B138" s="117" t="s">
        <v>431</v>
      </c>
    </row>
    <row r="139" spans="1:2">
      <c r="A139" s="117" t="s">
        <v>455</v>
      </c>
      <c r="B139" s="117" t="s">
        <v>393</v>
      </c>
    </row>
    <row r="140" spans="1:2">
      <c r="A140" s="117" t="s">
        <v>455</v>
      </c>
      <c r="B140" s="117" t="s">
        <v>395</v>
      </c>
    </row>
    <row r="141" spans="1:2">
      <c r="A141" s="117" t="s">
        <v>455</v>
      </c>
      <c r="B141" s="117" t="s">
        <v>385</v>
      </c>
    </row>
    <row r="142" spans="1:2">
      <c r="A142" s="117" t="s">
        <v>455</v>
      </c>
      <c r="B142" s="117" t="s">
        <v>399</v>
      </c>
    </row>
    <row r="143" spans="1:2">
      <c r="A143" s="117" t="s">
        <v>455</v>
      </c>
      <c r="B143" s="117" t="s">
        <v>400</v>
      </c>
    </row>
    <row r="144" spans="1:2">
      <c r="A144" s="117" t="s">
        <v>455</v>
      </c>
      <c r="B144" s="117" t="s">
        <v>424</v>
      </c>
    </row>
    <row r="145" spans="1:2">
      <c r="A145" s="117" t="s">
        <v>455</v>
      </c>
      <c r="B145" s="117" t="s">
        <v>416</v>
      </c>
    </row>
    <row r="146" spans="1:2">
      <c r="A146" s="117" t="s">
        <v>455</v>
      </c>
      <c r="B146" s="117" t="s">
        <v>423</v>
      </c>
    </row>
    <row r="147" spans="1:2">
      <c r="A147" s="117" t="s">
        <v>455</v>
      </c>
      <c r="B147" s="117" t="s">
        <v>421</v>
      </c>
    </row>
    <row r="148" spans="1:2">
      <c r="A148" s="117" t="s">
        <v>455</v>
      </c>
      <c r="B148" s="117" t="s">
        <v>413</v>
      </c>
    </row>
    <row r="149" spans="1:2">
      <c r="A149" s="117" t="s">
        <v>455</v>
      </c>
      <c r="B149" s="117" t="s">
        <v>418</v>
      </c>
    </row>
    <row r="150" spans="1:2">
      <c r="A150" s="117" t="s">
        <v>455</v>
      </c>
      <c r="B150" s="117" t="s">
        <v>417</v>
      </c>
    </row>
    <row r="151" spans="1:2">
      <c r="A151" s="117" t="s">
        <v>455</v>
      </c>
      <c r="B151" s="117" t="s">
        <v>414</v>
      </c>
    </row>
  </sheetData>
  <sheetProtection password="EECE" sheet="1" objects="1" scenarios="1"/>
  <autoFilter ref="C8:L56">
    <filterColumn colId="6"/>
  </autoFilter>
  <sortState ref="B63:B101">
    <sortCondition ref="B63"/>
  </sortState>
  <phoneticPr fontId="1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2:AN57"/>
  <sheetViews>
    <sheetView zoomScale="70" zoomScaleNormal="70" workbookViewId="0">
      <selection activeCell="A4" sqref="A4:N53"/>
    </sheetView>
  </sheetViews>
  <sheetFormatPr defaultRowHeight="15"/>
  <cols>
    <col min="1" max="1" width="14.7109375" customWidth="1"/>
    <col min="2" max="2" width="10.42578125" customWidth="1"/>
    <col min="3" max="14" width="14.7109375" customWidth="1"/>
    <col min="16" max="16" width="10.28515625" customWidth="1"/>
    <col min="17" max="30" width="14.7109375" customWidth="1"/>
  </cols>
  <sheetData>
    <row r="2" spans="1:30">
      <c r="D2">
        <v>0</v>
      </c>
      <c r="T2">
        <v>0</v>
      </c>
    </row>
    <row r="3" spans="1:30">
      <c r="A3">
        <v>1</v>
      </c>
      <c r="B3">
        <v>2</v>
      </c>
      <c r="C3">
        <v>3</v>
      </c>
      <c r="D3">
        <v>4</v>
      </c>
      <c r="E3">
        <v>5</v>
      </c>
      <c r="F3">
        <v>6</v>
      </c>
      <c r="G3">
        <v>7</v>
      </c>
      <c r="H3">
        <v>8</v>
      </c>
      <c r="I3">
        <v>9</v>
      </c>
      <c r="J3">
        <v>10</v>
      </c>
      <c r="K3">
        <v>11</v>
      </c>
      <c r="L3">
        <v>12</v>
      </c>
      <c r="M3">
        <v>13</v>
      </c>
      <c r="N3">
        <v>14</v>
      </c>
      <c r="O3">
        <v>15</v>
      </c>
      <c r="P3">
        <v>16</v>
      </c>
      <c r="Q3">
        <v>17</v>
      </c>
      <c r="R3">
        <v>18</v>
      </c>
      <c r="S3">
        <v>19</v>
      </c>
      <c r="T3">
        <v>20</v>
      </c>
      <c r="U3">
        <v>21</v>
      </c>
      <c r="V3">
        <v>22</v>
      </c>
      <c r="W3">
        <v>23</v>
      </c>
      <c r="X3">
        <v>24</v>
      </c>
      <c r="Y3">
        <v>25</v>
      </c>
      <c r="Z3">
        <v>26</v>
      </c>
      <c r="AA3">
        <v>27</v>
      </c>
      <c r="AB3">
        <v>28</v>
      </c>
      <c r="AC3">
        <v>29</v>
      </c>
      <c r="AD3">
        <v>30</v>
      </c>
    </row>
    <row r="4" spans="1:30">
      <c r="A4" s="13"/>
      <c r="B4" s="13"/>
      <c r="C4" s="240" t="s">
        <v>42</v>
      </c>
      <c r="D4" s="241"/>
      <c r="E4" s="240" t="s">
        <v>43</v>
      </c>
      <c r="F4" s="241"/>
      <c r="G4" s="240" t="s">
        <v>44</v>
      </c>
      <c r="H4" s="241"/>
      <c r="I4" s="240" t="s">
        <v>45</v>
      </c>
      <c r="J4" s="241"/>
      <c r="K4" s="240" t="s">
        <v>46</v>
      </c>
      <c r="L4" s="241"/>
      <c r="M4" s="240" t="s">
        <v>47</v>
      </c>
      <c r="N4" s="241"/>
      <c r="O4" s="14"/>
      <c r="P4" s="14"/>
      <c r="Q4" s="13"/>
      <c r="R4" s="13"/>
      <c r="S4" s="240" t="s">
        <v>42</v>
      </c>
      <c r="T4" s="241"/>
      <c r="U4" s="240" t="s">
        <v>43</v>
      </c>
      <c r="V4" s="241"/>
      <c r="W4" s="240" t="s">
        <v>44</v>
      </c>
      <c r="X4" s="241"/>
      <c r="Y4" s="240" t="s">
        <v>45</v>
      </c>
      <c r="Z4" s="241"/>
      <c r="AA4" s="240" t="s">
        <v>46</v>
      </c>
      <c r="AB4" s="241"/>
      <c r="AC4" s="240" t="s">
        <v>47</v>
      </c>
      <c r="AD4" s="241"/>
    </row>
    <row r="5" spans="1:30">
      <c r="A5" s="13" t="s">
        <v>70</v>
      </c>
      <c r="B5" s="13" t="s">
        <v>71</v>
      </c>
      <c r="C5" s="13" t="s">
        <v>72</v>
      </c>
      <c r="D5" s="13" t="e">
        <f>#REF!</f>
        <v>#REF!</v>
      </c>
      <c r="E5" s="13" t="s">
        <v>73</v>
      </c>
      <c r="F5" s="13" t="e">
        <f>#REF!</f>
        <v>#REF!</v>
      </c>
      <c r="G5" s="13" t="s">
        <v>74</v>
      </c>
      <c r="H5" s="13" t="e">
        <f>#REF!</f>
        <v>#REF!</v>
      </c>
      <c r="I5" s="13" t="s">
        <v>75</v>
      </c>
      <c r="J5" s="13" t="e">
        <f>#REF!</f>
        <v>#REF!</v>
      </c>
      <c r="K5" s="13" t="s">
        <v>76</v>
      </c>
      <c r="L5" s="13" t="e">
        <f>#REF!</f>
        <v>#REF!</v>
      </c>
      <c r="M5" s="13" t="s">
        <v>77</v>
      </c>
      <c r="N5" s="13" t="e">
        <f>#REF!</f>
        <v>#REF!</v>
      </c>
      <c r="O5" s="14"/>
      <c r="P5" s="14"/>
      <c r="Q5" s="13" t="s">
        <v>70</v>
      </c>
      <c r="R5" s="13" t="s">
        <v>71</v>
      </c>
      <c r="S5" s="13" t="s">
        <v>72</v>
      </c>
      <c r="T5" s="13" t="e">
        <f>#REF!</f>
        <v>#REF!</v>
      </c>
      <c r="U5" s="13" t="s">
        <v>73</v>
      </c>
      <c r="V5" s="13" t="e">
        <f>#REF!</f>
        <v>#REF!</v>
      </c>
      <c r="W5" s="13" t="s">
        <v>74</v>
      </c>
      <c r="X5" s="13" t="e">
        <f>#REF!</f>
        <v>#REF!</v>
      </c>
      <c r="Y5" s="13" t="s">
        <v>75</v>
      </c>
      <c r="Z5" s="13" t="e">
        <f>#REF!</f>
        <v>#REF!</v>
      </c>
      <c r="AA5" s="13" t="s">
        <v>76</v>
      </c>
      <c r="AB5" s="13" t="e">
        <f>#REF!</f>
        <v>#REF!</v>
      </c>
      <c r="AC5" s="13" t="s">
        <v>77</v>
      </c>
      <c r="AD5" s="13" t="e">
        <f>#REF!</f>
        <v>#REF!</v>
      </c>
    </row>
    <row r="6" spans="1:30">
      <c r="A6" s="15">
        <v>39083</v>
      </c>
      <c r="B6" s="16">
        <v>2</v>
      </c>
      <c r="C6" s="15" t="e">
        <f>IF(AND($A6&gt;=#REF!,#REF!&gt;=$A6),$A6,"")</f>
        <v>#REF!</v>
      </c>
      <c r="D6" s="13" t="e">
        <f>IF(AND(C6&gt;=#REF!,#REF!&gt;=C6),VLOOKUP($D$5,'Material index'!$H$6:$BD$61,VLOOKUP(C6,$A$5:$B$53,2,FALSE),FALSE),"")</f>
        <v>#REF!</v>
      </c>
      <c r="E6" s="15" t="e">
        <f>IF(AND($A6&gt;=#REF!,#REF!&gt;=$A6),$A6,"")</f>
        <v>#REF!</v>
      </c>
      <c r="F6" s="13" t="e">
        <f>IF(AND(E6&gt;=#REF!,#REF!&gt;=E6),VLOOKUP($F$5,'Material index'!$H$6:$BD$61,VLOOKUP(E6,$A$5:$B$53,2,FALSE),FALSE),"")</f>
        <v>#REF!</v>
      </c>
      <c r="G6" s="15" t="e">
        <f>IF(AND($E6&gt;=#REF!,#REF!&gt;=$A6),$A6,"")</f>
        <v>#REF!</v>
      </c>
      <c r="H6" s="13" t="e">
        <f>IF(AND(G6&gt;=#REF!,#REF!&gt;=G6),VLOOKUP($H$5,'Material index'!$H$6:$BD$61,VLOOKUP(G6,$A$5:$B$53,2,FALSE),FALSE),"")</f>
        <v>#REF!</v>
      </c>
      <c r="I6" s="15" t="e">
        <f>IF(AND($A6&gt;=#REF!,#REF!&gt;=$A6),$A6,"")</f>
        <v>#REF!</v>
      </c>
      <c r="J6" s="13" t="e">
        <f>IF(AND(I6&gt;=#REF!,#REF!&gt;=I6),VLOOKUP($J$5,'Material index'!$H$6:$BD$61,VLOOKUP(I6,$A$5:$B$53,2,FALSE),FALSE),"")</f>
        <v>#REF!</v>
      </c>
      <c r="K6" s="15" t="e">
        <f>IF(AND($A6&gt;=#REF!,#REF!&gt;=$A6),$A6,"")</f>
        <v>#REF!</v>
      </c>
      <c r="L6" s="13" t="e">
        <f>IF(AND(K6&gt;=#REF!,#REF!&gt;=K6),VLOOKUP($L$5,'Material index'!$H$6:$BD$61,VLOOKUP(K6,$A$5:$B$53,2,FALSE),FALSE),"")</f>
        <v>#REF!</v>
      </c>
      <c r="M6" s="15" t="e">
        <f>IF(AND($A6&gt;=#REF!,#REF!&gt;=$A6),$A6,"")</f>
        <v>#REF!</v>
      </c>
      <c r="N6" s="13" t="e">
        <f>IF(AND(M6&gt;=#REF!,#REF!&gt;=M6),VLOOKUP($N$5,'Material index'!$H$6:$BD$61,VLOOKUP(M6,$A$5:$B$53,2,FALSE),FALSE),"")</f>
        <v>#REF!</v>
      </c>
      <c r="O6" s="14"/>
      <c r="P6" s="14"/>
      <c r="Q6" s="15">
        <v>39083</v>
      </c>
      <c r="R6" s="16">
        <v>2</v>
      </c>
      <c r="S6" s="15" t="e">
        <f>IF(AND($A6&gt;=#REF!,#REF!&gt;=$A6),$A6,"")</f>
        <v>#REF!</v>
      </c>
      <c r="T6" s="13" t="e">
        <f>IF(AND(S6&gt;=#REF!,#REF!&gt;=S6),VLOOKUP($D$5,'Material index'!$H$6:$BD$61,VLOOKUP(S6,$A$5:$B$53,2,FALSE),FALSE),"")</f>
        <v>#REF!</v>
      </c>
      <c r="U6" s="15" t="e">
        <f>IF(AND($A6&gt;=#REF!,#REF!&gt;=$A6),$A6,"")</f>
        <v>#REF!</v>
      </c>
      <c r="V6" s="13" t="e">
        <f>IF(AND(U6&gt;=#REF!,#REF!&gt;=U6),VLOOKUP($F$5,'Material index'!$H$6:$BD$61,VLOOKUP(U6,$A$5:$B$53,2,FALSE),FALSE),"")</f>
        <v>#REF!</v>
      </c>
      <c r="W6" s="15" t="e">
        <f>IF(AND($E6&gt;=#REF!,#REF!&gt;=$A6),$A6,"")</f>
        <v>#REF!</v>
      </c>
      <c r="X6" s="13" t="e">
        <f>IF(AND(W6&gt;=#REF!,#REF!&gt;=W6),VLOOKUP($H$5,'Material index'!$H$6:$BD$61,VLOOKUP(W6,$A$5:$B$53,2,FALSE),FALSE),"")</f>
        <v>#REF!</v>
      </c>
      <c r="Y6" s="15" t="e">
        <f>IF(AND($A6&gt;=#REF!,#REF!&gt;=$A6),$A6,"")</f>
        <v>#REF!</v>
      </c>
      <c r="Z6" s="13" t="e">
        <f>IF(AND(Y6&gt;=#REF!,#REF!&gt;=Y6),VLOOKUP($J$5,'Material index'!$H$6:$BD$61,VLOOKUP(Y6,$A$5:$B$53,2,FALSE),FALSE),"")</f>
        <v>#REF!</v>
      </c>
      <c r="AA6" s="15" t="e">
        <f>IF(AND($A6&gt;=#REF!,#REF!&gt;=$A6),$A6,"")</f>
        <v>#REF!</v>
      </c>
      <c r="AB6" s="13" t="e">
        <f>IF(AND(AA6&gt;=#REF!,#REF!&gt;=AA6),VLOOKUP($L$5,'Material index'!$H$6:$BD$61,VLOOKUP(AA6,$A$5:$B$53,2,FALSE),FALSE),"")</f>
        <v>#REF!</v>
      </c>
      <c r="AC6" s="15" t="e">
        <f>IF(AND($A6&gt;=#REF!,#REF!&gt;=$A6),$A6,"")</f>
        <v>#REF!</v>
      </c>
      <c r="AD6" s="13" t="e">
        <f>IF(AND(AC6&gt;=#REF!,#REF!&gt;=AC6),VLOOKUP($N$5,'Material index'!$H$6:$BD$61,VLOOKUP(AC6,$A$5:$B$53,2,FALSE),FALSE),"")</f>
        <v>#REF!</v>
      </c>
    </row>
    <row r="7" spans="1:30">
      <c r="A7" s="15">
        <v>39114</v>
      </c>
      <c r="B7" s="16">
        <v>3</v>
      </c>
      <c r="C7" s="15" t="e">
        <f>IF(AND($A7&gt;=#REF!,#REF!&gt;=$A7),$A7,"")</f>
        <v>#REF!</v>
      </c>
      <c r="D7" s="13" t="e">
        <f>IF(AND(C7&gt;=#REF!,#REF!&gt;=C7),VLOOKUP($D$5,'Material index'!$H$6:$BD$61,VLOOKUP(C7,$A$5:$B$53,2,FALSE),FALSE),"")</f>
        <v>#REF!</v>
      </c>
      <c r="E7" s="15" t="e">
        <f>IF(AND($A7&gt;=#REF!,#REF!&gt;=$A7),$A7,"")</f>
        <v>#REF!</v>
      </c>
      <c r="F7" s="13" t="e">
        <f>IF(AND(E7&gt;=#REF!,#REF!&gt;=E7),VLOOKUP($F$5,'Material index'!$H$6:$BD$61,VLOOKUP(E7,$A$5:$B$53,2,FALSE),FALSE),"")</f>
        <v>#REF!</v>
      </c>
      <c r="G7" s="15" t="e">
        <f>IF(AND($A7&gt;=#REF!,#REF!&gt;=$A7),$A7,"")</f>
        <v>#REF!</v>
      </c>
      <c r="H7" s="13" t="e">
        <f>IF(AND(G7&gt;=#REF!,#REF!&gt;=G7),VLOOKUP($H$5,'Material index'!$H$6:$BD$61,VLOOKUP(G7,$A$5:$B$53,2,FALSE),FALSE),"")</f>
        <v>#REF!</v>
      </c>
      <c r="I7" s="15" t="e">
        <f>IF(AND($A7&gt;=#REF!,#REF!&gt;=$A7),$A7,"")</f>
        <v>#REF!</v>
      </c>
      <c r="J7" s="13" t="e">
        <f>IF(AND(I7&gt;=#REF!,#REF!&gt;=I7),VLOOKUP($J$5,'Material index'!$H$6:$BD$61,VLOOKUP(I7,$A$5:$B$53,2,FALSE),FALSE),"")</f>
        <v>#REF!</v>
      </c>
      <c r="K7" s="15" t="e">
        <f>IF(AND($A7&gt;=#REF!,#REF!&gt;=$A7),$A7,"")</f>
        <v>#REF!</v>
      </c>
      <c r="L7" s="13" t="e">
        <f>IF(AND(K7&gt;=#REF!,#REF!&gt;=K7),VLOOKUP($L$5,'Material index'!$H$6:$BD$61,VLOOKUP(K7,$A$5:$B$53,2,FALSE),FALSE),"")</f>
        <v>#REF!</v>
      </c>
      <c r="M7" s="15" t="e">
        <f>IF(AND($A7&gt;=#REF!,#REF!&gt;=$A7),$A7,"")</f>
        <v>#REF!</v>
      </c>
      <c r="N7" s="13" t="e">
        <f>IF(AND(M7&gt;=#REF!,#REF!&gt;=M7),VLOOKUP($N$5,'Material index'!$H$6:$BD$61,VLOOKUP(M7,$A$5:$B$53,2,FALSE),FALSE),"")</f>
        <v>#REF!</v>
      </c>
      <c r="O7" s="14"/>
      <c r="P7" s="14"/>
      <c r="Q7" s="15">
        <v>39114</v>
      </c>
      <c r="R7" s="16">
        <v>3</v>
      </c>
      <c r="S7" s="15" t="e">
        <f>IF(AND($A7&gt;=#REF!,#REF!&gt;=$A7),$A7,"")</f>
        <v>#REF!</v>
      </c>
      <c r="T7" s="13" t="e">
        <f>IF(AND(S7&gt;=#REF!,#REF!&gt;=S7),VLOOKUP($D$5,'Material index'!$H$6:$BD$61,VLOOKUP(S7,$A$5:$B$53,2,FALSE),FALSE),"")</f>
        <v>#REF!</v>
      </c>
      <c r="U7" s="15" t="e">
        <f>IF(AND($A7&gt;=#REF!,#REF!&gt;=$A7),$A7,"")</f>
        <v>#REF!</v>
      </c>
      <c r="V7" s="13" t="e">
        <f>IF(AND(U7&gt;=#REF!,#REF!&gt;=U7),VLOOKUP($F$5,'Material index'!$H$6:$BD$61,VLOOKUP(U7,$A$5:$B$53,2,FALSE),FALSE),"")</f>
        <v>#REF!</v>
      </c>
      <c r="W7" s="15" t="e">
        <f>IF(AND($A7&gt;=#REF!,#REF!&gt;=$A7),$A7,"")</f>
        <v>#REF!</v>
      </c>
      <c r="X7" s="13" t="e">
        <f>IF(AND(W7&gt;=#REF!,#REF!&gt;=W7),VLOOKUP($H$5,'Material index'!$H$6:$BD$61,VLOOKUP(W7,$A$5:$B$53,2,FALSE),FALSE),"")</f>
        <v>#REF!</v>
      </c>
      <c r="Y7" s="15" t="e">
        <f>IF(AND($A7&gt;=#REF!,#REF!&gt;=$A7),$A7,"")</f>
        <v>#REF!</v>
      </c>
      <c r="Z7" s="13" t="e">
        <f>IF(AND(Y7&gt;=#REF!,#REF!&gt;=Y7),VLOOKUP($J$5,'Material index'!$H$6:$BD$61,VLOOKUP(Y7,$A$5:$B$53,2,FALSE),FALSE),"")</f>
        <v>#REF!</v>
      </c>
      <c r="AA7" s="15" t="e">
        <f>IF(AND($A7&gt;=#REF!,#REF!&gt;=$A7),$A7,"")</f>
        <v>#REF!</v>
      </c>
      <c r="AB7" s="13" t="e">
        <f>IF(AND(AA7&gt;=#REF!,#REF!&gt;=AA7),VLOOKUP($L$5,'Material index'!$H$6:$BD$61,VLOOKUP(AA7,$A$5:$B$53,2,FALSE),FALSE),"")</f>
        <v>#REF!</v>
      </c>
      <c r="AC7" s="15" t="e">
        <f>IF(AND($A7&gt;=#REF!,#REF!&gt;=$A7),$A7,"")</f>
        <v>#REF!</v>
      </c>
      <c r="AD7" s="13" t="e">
        <f>IF(AND(AC7&gt;=#REF!,#REF!&gt;=AC7),VLOOKUP($N$5,'Material index'!$H$6:$BD$61,VLOOKUP(AC7,$A$5:$B$53,2,FALSE),FALSE),"")</f>
        <v>#REF!</v>
      </c>
    </row>
    <row r="8" spans="1:30">
      <c r="A8" s="15">
        <v>39142</v>
      </c>
      <c r="B8" s="16">
        <v>4</v>
      </c>
      <c r="C8" s="15" t="e">
        <f>IF(AND($A8&gt;=#REF!,#REF!&gt;=$A8),$A8,"")</f>
        <v>#REF!</v>
      </c>
      <c r="D8" s="13" t="e">
        <f>IF(AND(C8&gt;=#REF!,#REF!&gt;=C8),VLOOKUP($D$5,'Material index'!$H$6:$BD$61,VLOOKUP(C8,$A$5:$B$53,2,FALSE),FALSE),"")</f>
        <v>#REF!</v>
      </c>
      <c r="E8" s="15" t="e">
        <f>IF(AND($A8&gt;=#REF!,#REF!&gt;=$A8),$A8,"")</f>
        <v>#REF!</v>
      </c>
      <c r="F8" s="13" t="e">
        <f>IF(AND(E8&gt;=#REF!,#REF!&gt;=E8),VLOOKUP($F$5,'Material index'!$H$6:$BD$61,VLOOKUP(E8,$A$5:$B$53,2,FALSE),FALSE),"")</f>
        <v>#REF!</v>
      </c>
      <c r="G8" s="15" t="e">
        <f>IF(AND($A8&gt;=#REF!,#REF!&gt;=$A8),$A8,"")</f>
        <v>#REF!</v>
      </c>
      <c r="H8" s="13" t="e">
        <f>IF(AND(G8&gt;=#REF!,#REF!&gt;=G8),VLOOKUP($H$5,'Material index'!$H$6:$BD$61,VLOOKUP(G8,$A$5:$B$53,2,FALSE),FALSE),"")</f>
        <v>#REF!</v>
      </c>
      <c r="I8" s="15" t="e">
        <f>IF(AND($A8&gt;=#REF!,#REF!&gt;=$A8),$A8,"")</f>
        <v>#REF!</v>
      </c>
      <c r="J8" s="13" t="e">
        <f>IF(AND(I8&gt;=#REF!,#REF!&gt;=I8),VLOOKUP($J$5,'Material index'!$H$6:$BD$61,VLOOKUP(I8,$A$5:$B$53,2,FALSE),FALSE),"")</f>
        <v>#REF!</v>
      </c>
      <c r="K8" s="15" t="e">
        <f>IF(AND($A8&gt;=#REF!,#REF!&gt;=$A8),$A8,"")</f>
        <v>#REF!</v>
      </c>
      <c r="L8" s="13" t="e">
        <f>IF(AND(K8&gt;=#REF!,#REF!&gt;=K8),VLOOKUP($L$5,'Material index'!$H$6:$BD$61,VLOOKUP(K8,$A$5:$B$53,2,FALSE),FALSE),"")</f>
        <v>#REF!</v>
      </c>
      <c r="M8" s="15" t="e">
        <f>IF(AND($A8&gt;=#REF!,#REF!&gt;=$A8),$A8,"")</f>
        <v>#REF!</v>
      </c>
      <c r="N8" s="13" t="e">
        <f>IF(AND(M8&gt;=#REF!,#REF!&gt;=M8),VLOOKUP($N$5,'Material index'!$H$6:$BD$61,VLOOKUP(M8,$A$5:$B$53,2,FALSE),FALSE),"")</f>
        <v>#REF!</v>
      </c>
      <c r="O8" s="14"/>
      <c r="P8" s="14"/>
      <c r="Q8" s="15">
        <v>39142</v>
      </c>
      <c r="R8" s="16">
        <v>4</v>
      </c>
      <c r="S8" s="15" t="e">
        <f>IF(AND($A8&gt;=#REF!,#REF!&gt;=$A8),$A8,"")</f>
        <v>#REF!</v>
      </c>
      <c r="T8" s="13" t="e">
        <f>IF(AND(S8&gt;=#REF!,#REF!&gt;=S8),VLOOKUP($D$5,'Material index'!$H$6:$BD$61,VLOOKUP(S8,$A$5:$B$53,2,FALSE),FALSE),"")</f>
        <v>#REF!</v>
      </c>
      <c r="U8" s="15" t="e">
        <f>IF(AND($A8&gt;=#REF!,#REF!&gt;=$A8),$A8,"")</f>
        <v>#REF!</v>
      </c>
      <c r="V8" s="13" t="e">
        <f>IF(AND(U8&gt;=#REF!,#REF!&gt;=U8),VLOOKUP($F$5,'Material index'!$H$6:$BD$61,VLOOKUP(U8,$A$5:$B$53,2,FALSE),FALSE),"")</f>
        <v>#REF!</v>
      </c>
      <c r="W8" s="15" t="e">
        <f>IF(AND($A8&gt;=#REF!,#REF!&gt;=$A8),$A8,"")</f>
        <v>#REF!</v>
      </c>
      <c r="X8" s="13" t="e">
        <f>IF(AND(W8&gt;=#REF!,#REF!&gt;=W8),VLOOKUP($H$5,'Material index'!$H$6:$BD$61,VLOOKUP(W8,$A$5:$B$53,2,FALSE),FALSE),"")</f>
        <v>#REF!</v>
      </c>
      <c r="Y8" s="15" t="e">
        <f>IF(AND($A8&gt;=#REF!,#REF!&gt;=$A8),$A8,"")</f>
        <v>#REF!</v>
      </c>
      <c r="Z8" s="13" t="e">
        <f>IF(AND(Y8&gt;=#REF!,#REF!&gt;=Y8),VLOOKUP($J$5,'Material index'!$H$6:$BD$61,VLOOKUP(Y8,$A$5:$B$53,2,FALSE),FALSE),"")</f>
        <v>#REF!</v>
      </c>
      <c r="AA8" s="15" t="e">
        <f>IF(AND($A8&gt;=#REF!,#REF!&gt;=$A8),$A8,"")</f>
        <v>#REF!</v>
      </c>
      <c r="AB8" s="13" t="e">
        <f>IF(AND(AA8&gt;=#REF!,#REF!&gt;=AA8),VLOOKUP($L$5,'Material index'!$H$6:$BD$61,VLOOKUP(AA8,$A$5:$B$53,2,FALSE),FALSE),"")</f>
        <v>#REF!</v>
      </c>
      <c r="AC8" s="15" t="e">
        <f>IF(AND($A8&gt;=#REF!,#REF!&gt;=$A8),$A8,"")</f>
        <v>#REF!</v>
      </c>
      <c r="AD8" s="13" t="e">
        <f>IF(AND(AC8&gt;=#REF!,#REF!&gt;=AC8),VLOOKUP($N$5,'Material index'!$H$6:$BD$61,VLOOKUP(AC8,$A$5:$B$53,2,FALSE),FALSE),"")</f>
        <v>#REF!</v>
      </c>
    </row>
    <row r="9" spans="1:30">
      <c r="A9" s="15">
        <v>39173</v>
      </c>
      <c r="B9" s="16">
        <v>5</v>
      </c>
      <c r="C9" s="15" t="e">
        <f>IF(AND($A9&gt;=#REF!,#REF!&gt;=$A9),$A9,"")</f>
        <v>#REF!</v>
      </c>
      <c r="D9" s="13" t="e">
        <f>IF(AND(C9&gt;=#REF!,#REF!&gt;=C9),VLOOKUP($D$5,'Material index'!$H$6:$BD$61,VLOOKUP(C9,$A$5:$B$53,2,FALSE),FALSE),"")</f>
        <v>#REF!</v>
      </c>
      <c r="E9" s="15" t="e">
        <f>IF(AND($A9&gt;=#REF!,#REF!&gt;=$A9),$A9,"")</f>
        <v>#REF!</v>
      </c>
      <c r="F9" s="13" t="e">
        <f>IF(AND(E9&gt;=#REF!,#REF!&gt;=E9),VLOOKUP($F$5,'Material index'!$H$6:$BD$61,VLOOKUP(E9,$A$5:$B$53,2,FALSE),FALSE),"")</f>
        <v>#REF!</v>
      </c>
      <c r="G9" s="15" t="e">
        <f>IF(AND($A9&gt;=#REF!,#REF!&gt;=$A9),$A9,"")</f>
        <v>#REF!</v>
      </c>
      <c r="H9" s="13" t="e">
        <f>IF(AND(G9&gt;=#REF!,#REF!&gt;=G9),VLOOKUP($H$5,'Material index'!$H$6:$BD$61,VLOOKUP(G9,$A$5:$B$53,2,FALSE),FALSE),"")</f>
        <v>#REF!</v>
      </c>
      <c r="I9" s="15" t="e">
        <f>IF(AND($A9&gt;=#REF!,#REF!&gt;=$A9),$A9,"")</f>
        <v>#REF!</v>
      </c>
      <c r="J9" s="13" t="e">
        <f>IF(AND(I9&gt;=#REF!,#REF!&gt;=I9),VLOOKUP($J$5,'Material index'!$H$6:$BD$61,VLOOKUP(I9,$A$5:$B$53,2,FALSE),FALSE),"")</f>
        <v>#REF!</v>
      </c>
      <c r="K9" s="15" t="e">
        <f>IF(AND($A9&gt;=#REF!,#REF!&gt;=$A9),$A9,"")</f>
        <v>#REF!</v>
      </c>
      <c r="L9" s="13" t="e">
        <f>IF(AND(K9&gt;=#REF!,#REF!&gt;=K9),VLOOKUP($L$5,'Material index'!$H$6:$BD$61,VLOOKUP(K9,$A$5:$B$53,2,FALSE),FALSE),"")</f>
        <v>#REF!</v>
      </c>
      <c r="M9" s="15" t="e">
        <f>IF(AND($A9&gt;=#REF!,#REF!&gt;=$A9),$A9,"")</f>
        <v>#REF!</v>
      </c>
      <c r="N9" s="13" t="e">
        <f>IF(AND(M9&gt;=#REF!,#REF!&gt;=M9),VLOOKUP($N$5,'Material index'!$H$6:$BD$61,VLOOKUP(M9,$A$5:$B$53,2,FALSE),FALSE),"")</f>
        <v>#REF!</v>
      </c>
      <c r="O9" s="14"/>
      <c r="P9" s="14"/>
      <c r="Q9" s="15">
        <v>39173</v>
      </c>
      <c r="R9" s="16">
        <v>5</v>
      </c>
      <c r="S9" s="15" t="e">
        <f>IF(AND($A9&gt;=#REF!,#REF!&gt;=$A9),$A9,"")</f>
        <v>#REF!</v>
      </c>
      <c r="T9" s="13" t="e">
        <f>IF(AND(S9&gt;=#REF!,#REF!&gt;=S9),VLOOKUP($D$5,'Material index'!$H$6:$BD$61,VLOOKUP(S9,$A$5:$B$53,2,FALSE),FALSE),"")</f>
        <v>#REF!</v>
      </c>
      <c r="U9" s="15" t="e">
        <f>IF(AND($A9&gt;=#REF!,#REF!&gt;=$A9),$A9,"")</f>
        <v>#REF!</v>
      </c>
      <c r="V9" s="13" t="e">
        <f>IF(AND(U9&gt;=#REF!,#REF!&gt;=U9),VLOOKUP($F$5,'Material index'!$H$6:$BD$61,VLOOKUP(U9,$A$5:$B$53,2,FALSE),FALSE),"")</f>
        <v>#REF!</v>
      </c>
      <c r="W9" s="15" t="e">
        <f>IF(AND($A9&gt;=#REF!,#REF!&gt;=$A9),$A9,"")</f>
        <v>#REF!</v>
      </c>
      <c r="X9" s="13" t="e">
        <f>IF(AND(W9&gt;=#REF!,#REF!&gt;=W9),VLOOKUP($H$5,'Material index'!$H$6:$BD$61,VLOOKUP(W9,$A$5:$B$53,2,FALSE),FALSE),"")</f>
        <v>#REF!</v>
      </c>
      <c r="Y9" s="15" t="e">
        <f>IF(AND($A9&gt;=#REF!,#REF!&gt;=$A9),$A9,"")</f>
        <v>#REF!</v>
      </c>
      <c r="Z9" s="13" t="e">
        <f>IF(AND(Y9&gt;=#REF!,#REF!&gt;=Y9),VLOOKUP($J$5,'Material index'!$H$6:$BD$61,VLOOKUP(Y9,$A$5:$B$53,2,FALSE),FALSE),"")</f>
        <v>#REF!</v>
      </c>
      <c r="AA9" s="15" t="e">
        <f>IF(AND($A9&gt;=#REF!,#REF!&gt;=$A9),$A9,"")</f>
        <v>#REF!</v>
      </c>
      <c r="AB9" s="13" t="e">
        <f>IF(AND(AA9&gt;=#REF!,#REF!&gt;=AA9),VLOOKUP($L$5,'Material index'!$H$6:$BD$61,VLOOKUP(AA9,$A$5:$B$53,2,FALSE),FALSE),"")</f>
        <v>#REF!</v>
      </c>
      <c r="AC9" s="15" t="e">
        <f>IF(AND($A9&gt;=#REF!,#REF!&gt;=$A9),$A9,"")</f>
        <v>#REF!</v>
      </c>
      <c r="AD9" s="13" t="e">
        <f>IF(AND(AC9&gt;=#REF!,#REF!&gt;=AC9),VLOOKUP($N$5,'Material index'!$H$6:$BD$61,VLOOKUP(AC9,$A$5:$B$53,2,FALSE),FALSE),"")</f>
        <v>#REF!</v>
      </c>
    </row>
    <row r="10" spans="1:30">
      <c r="A10" s="15">
        <v>39203</v>
      </c>
      <c r="B10" s="16">
        <v>6</v>
      </c>
      <c r="C10" s="15" t="e">
        <f>IF(AND($A10&gt;=#REF!,#REF!&gt;=$A10),$A10,"")</f>
        <v>#REF!</v>
      </c>
      <c r="D10" s="13" t="e">
        <f>IF(AND(C10&gt;=#REF!,#REF!&gt;=C10),VLOOKUP($D$5,'Material index'!$H$6:$BD$61,VLOOKUP(C10,$A$5:$B$53,2,FALSE),FALSE),"")</f>
        <v>#REF!</v>
      </c>
      <c r="E10" s="15" t="e">
        <f>IF(AND($A10&gt;=#REF!,#REF!&gt;=$A10),$A10,"")</f>
        <v>#REF!</v>
      </c>
      <c r="F10" s="13" t="e">
        <f>IF(AND(E10&gt;=#REF!,#REF!&gt;=E10),VLOOKUP($F$5,'Material index'!$H$6:$BD$61,VLOOKUP(E10,$A$5:$B$53,2,FALSE),FALSE),"")</f>
        <v>#REF!</v>
      </c>
      <c r="G10" s="15" t="e">
        <f>IF(AND($A10&gt;=#REF!,#REF!&gt;=$A10),$A10,"")</f>
        <v>#REF!</v>
      </c>
      <c r="H10" s="13" t="e">
        <f>IF(AND(G10&gt;=#REF!,#REF!&gt;=G10),VLOOKUP($H$5,'Material index'!$H$6:$BD$61,VLOOKUP(G10,$A$5:$B$53,2,FALSE),FALSE),"")</f>
        <v>#REF!</v>
      </c>
      <c r="I10" s="15" t="e">
        <f>IF(AND($A10&gt;=#REF!,#REF!&gt;=$A10),$A10,"")</f>
        <v>#REF!</v>
      </c>
      <c r="J10" s="13" t="e">
        <f>IF(AND(I10&gt;=#REF!,#REF!&gt;=I10),VLOOKUP($J$5,'Material index'!$H$6:$BD$61,VLOOKUP(I10,$A$5:$B$53,2,FALSE),FALSE),"")</f>
        <v>#REF!</v>
      </c>
      <c r="K10" s="15" t="e">
        <f>IF(AND($A10&gt;=#REF!,#REF!&gt;=$A10),$A10,"")</f>
        <v>#REF!</v>
      </c>
      <c r="L10" s="13" t="e">
        <f>IF(AND(K10&gt;=#REF!,#REF!&gt;=K10),VLOOKUP($L$5,'Material index'!$H$6:$BD$61,VLOOKUP(K10,$A$5:$B$53,2,FALSE),FALSE),"")</f>
        <v>#REF!</v>
      </c>
      <c r="M10" s="15" t="e">
        <f>IF(AND($A10&gt;=#REF!,#REF!&gt;=$A10),$A10,"")</f>
        <v>#REF!</v>
      </c>
      <c r="N10" s="13" t="e">
        <f>IF(AND(M10&gt;=#REF!,#REF!&gt;=M10),VLOOKUP($N$5,'Material index'!$H$6:$BD$61,VLOOKUP(M10,$A$5:$B$53,2,FALSE),FALSE),"")</f>
        <v>#REF!</v>
      </c>
      <c r="O10" s="14"/>
      <c r="P10" s="14"/>
      <c r="Q10" s="15">
        <v>39203</v>
      </c>
      <c r="R10" s="16">
        <v>6</v>
      </c>
      <c r="S10" s="15" t="e">
        <f>IF(AND($A10&gt;=#REF!,#REF!&gt;=$A10),$A10,"")</f>
        <v>#REF!</v>
      </c>
      <c r="T10" s="13" t="e">
        <f>IF(AND(S10&gt;=#REF!,#REF!&gt;=S10),VLOOKUP($D$5,'Material index'!$H$6:$BD$61,VLOOKUP(S10,$A$5:$B$53,2,FALSE),FALSE),"")</f>
        <v>#REF!</v>
      </c>
      <c r="U10" s="15" t="e">
        <f>IF(AND($A10&gt;=#REF!,#REF!&gt;=$A10),$A10,"")</f>
        <v>#REF!</v>
      </c>
      <c r="V10" s="13" t="e">
        <f>IF(AND(U10&gt;=#REF!,#REF!&gt;=U10),VLOOKUP($F$5,'Material index'!$H$6:$BD$61,VLOOKUP(U10,$A$5:$B$53,2,FALSE),FALSE),"")</f>
        <v>#REF!</v>
      </c>
      <c r="W10" s="15" t="e">
        <f>IF(AND($A10&gt;=#REF!,#REF!&gt;=$A10),$A10,"")</f>
        <v>#REF!</v>
      </c>
      <c r="X10" s="13" t="e">
        <f>IF(AND(W10&gt;=#REF!,#REF!&gt;=W10),VLOOKUP($H$5,'Material index'!$H$6:$BD$61,VLOOKUP(W10,$A$5:$B$53,2,FALSE),FALSE),"")</f>
        <v>#REF!</v>
      </c>
      <c r="Y10" s="15" t="e">
        <f>IF(AND($A10&gt;=#REF!,#REF!&gt;=$A10),$A10,"")</f>
        <v>#REF!</v>
      </c>
      <c r="Z10" s="13" t="e">
        <f>IF(AND(Y10&gt;=#REF!,#REF!&gt;=Y10),VLOOKUP($J$5,'Material index'!$H$6:$BD$61,VLOOKUP(Y10,$A$5:$B$53,2,FALSE),FALSE),"")</f>
        <v>#REF!</v>
      </c>
      <c r="AA10" s="15" t="e">
        <f>IF(AND($A10&gt;=#REF!,#REF!&gt;=$A10),$A10,"")</f>
        <v>#REF!</v>
      </c>
      <c r="AB10" s="13" t="e">
        <f>IF(AND(AA10&gt;=#REF!,#REF!&gt;=AA10),VLOOKUP($L$5,'Material index'!$H$6:$BD$61,VLOOKUP(AA10,$A$5:$B$53,2,FALSE),FALSE),"")</f>
        <v>#REF!</v>
      </c>
      <c r="AC10" s="15" t="e">
        <f>IF(AND($A10&gt;=#REF!,#REF!&gt;=$A10),$A10,"")</f>
        <v>#REF!</v>
      </c>
      <c r="AD10" s="13" t="e">
        <f>IF(AND(AC10&gt;=#REF!,#REF!&gt;=AC10),VLOOKUP($N$5,'Material index'!$H$6:$BD$61,VLOOKUP(AC10,$A$5:$B$53,2,FALSE),FALSE),"")</f>
        <v>#REF!</v>
      </c>
    </row>
    <row r="11" spans="1:30">
      <c r="A11" s="15">
        <v>39234</v>
      </c>
      <c r="B11" s="16">
        <v>7</v>
      </c>
      <c r="C11" s="15" t="e">
        <f>IF(AND($A11&gt;=#REF!,#REF!&gt;=$A11),$A11,"")</f>
        <v>#REF!</v>
      </c>
      <c r="D11" s="13" t="e">
        <f>IF(AND(C11&gt;=#REF!,#REF!&gt;=C11),VLOOKUP($D$5,'Material index'!$H$6:$BD$61,VLOOKUP(C11,$A$5:$B$53,2,FALSE),FALSE),"")</f>
        <v>#REF!</v>
      </c>
      <c r="E11" s="15" t="e">
        <f>IF(AND($A11&gt;=#REF!,#REF!&gt;=$A11),$A11,"")</f>
        <v>#REF!</v>
      </c>
      <c r="F11" s="13" t="e">
        <f>IF(AND(E11&gt;=#REF!,#REF!&gt;=E11),VLOOKUP($F$5,'Material index'!$H$6:$BD$61,VLOOKUP(E11,$A$5:$B$53,2,FALSE),FALSE),"")</f>
        <v>#REF!</v>
      </c>
      <c r="G11" s="15" t="e">
        <f>IF(AND($A11&gt;=#REF!,#REF!&gt;=$A11),$A11,"")</f>
        <v>#REF!</v>
      </c>
      <c r="H11" s="13" t="e">
        <f>IF(AND(G11&gt;=#REF!,#REF!&gt;=G11),VLOOKUP($H$5,'Material index'!$H$6:$BD$61,VLOOKUP(G11,$A$5:$B$53,2,FALSE),FALSE),"")</f>
        <v>#REF!</v>
      </c>
      <c r="I11" s="15" t="e">
        <f>IF(AND($A11&gt;=#REF!,#REF!&gt;=$A11),$A11,"")</f>
        <v>#REF!</v>
      </c>
      <c r="J11" s="13" t="e">
        <f>IF(AND(I11&gt;=#REF!,#REF!&gt;=I11),VLOOKUP($J$5,'Material index'!$H$6:$BD$61,VLOOKUP(I11,$A$5:$B$53,2,FALSE),FALSE),"")</f>
        <v>#REF!</v>
      </c>
      <c r="K11" s="15" t="e">
        <f>IF(AND($A11&gt;=#REF!,#REF!&gt;=$A11),$A11,"")</f>
        <v>#REF!</v>
      </c>
      <c r="L11" s="13" t="e">
        <f>IF(AND(K11&gt;=#REF!,#REF!&gt;=K11),VLOOKUP($L$5,'Material index'!$H$6:$BD$61,VLOOKUP(K11,$A$5:$B$53,2,FALSE),FALSE),"")</f>
        <v>#REF!</v>
      </c>
      <c r="M11" s="15" t="e">
        <f>IF(AND($A11&gt;=#REF!,#REF!&gt;=$A11),$A11,"")</f>
        <v>#REF!</v>
      </c>
      <c r="N11" s="13" t="e">
        <f>IF(AND(M11&gt;=#REF!,#REF!&gt;=M11),VLOOKUP($N$5,'Material index'!$H$6:$BD$61,VLOOKUP(M11,$A$5:$B$53,2,FALSE),FALSE),"")</f>
        <v>#REF!</v>
      </c>
      <c r="O11" s="14"/>
      <c r="P11" s="14"/>
      <c r="Q11" s="15">
        <v>39234</v>
      </c>
      <c r="R11" s="16">
        <v>7</v>
      </c>
      <c r="S11" s="15" t="e">
        <f>IF(AND($A11&gt;=#REF!,#REF!&gt;=$A11),$A11,"")</f>
        <v>#REF!</v>
      </c>
      <c r="T11" s="13" t="e">
        <f>IF(AND(S11&gt;=#REF!,#REF!&gt;=S11),VLOOKUP($D$5,'Material index'!$H$6:$BD$61,VLOOKUP(S11,$A$5:$B$53,2,FALSE),FALSE),"")</f>
        <v>#REF!</v>
      </c>
      <c r="U11" s="15" t="e">
        <f>IF(AND($A11&gt;=#REF!,#REF!&gt;=$A11),$A11,"")</f>
        <v>#REF!</v>
      </c>
      <c r="V11" s="13" t="e">
        <f>IF(AND(U11&gt;=#REF!,#REF!&gt;=U11),VLOOKUP($F$5,'Material index'!$H$6:$BD$61,VLOOKUP(U11,$A$5:$B$53,2,FALSE),FALSE),"")</f>
        <v>#REF!</v>
      </c>
      <c r="W11" s="15" t="e">
        <f>IF(AND($A11&gt;=#REF!,#REF!&gt;=$A11),$A11,"")</f>
        <v>#REF!</v>
      </c>
      <c r="X11" s="13" t="e">
        <f>IF(AND(W11&gt;=#REF!,#REF!&gt;=W11),VLOOKUP($H$5,'Material index'!$H$6:$BD$61,VLOOKUP(W11,$A$5:$B$53,2,FALSE),FALSE),"")</f>
        <v>#REF!</v>
      </c>
      <c r="Y11" s="15" t="e">
        <f>IF(AND($A11&gt;=#REF!,#REF!&gt;=$A11),$A11,"")</f>
        <v>#REF!</v>
      </c>
      <c r="Z11" s="13" t="e">
        <f>IF(AND(Y11&gt;=#REF!,#REF!&gt;=Y11),VLOOKUP($J$5,'Material index'!$H$6:$BD$61,VLOOKUP(Y11,$A$5:$B$53,2,FALSE),FALSE),"")</f>
        <v>#REF!</v>
      </c>
      <c r="AA11" s="15" t="e">
        <f>IF(AND($A11&gt;=#REF!,#REF!&gt;=$A11),$A11,"")</f>
        <v>#REF!</v>
      </c>
      <c r="AB11" s="13" t="e">
        <f>IF(AND(AA11&gt;=#REF!,#REF!&gt;=AA11),VLOOKUP($L$5,'Material index'!$H$6:$BD$61,VLOOKUP(AA11,$A$5:$B$53,2,FALSE),FALSE),"")</f>
        <v>#REF!</v>
      </c>
      <c r="AC11" s="15" t="e">
        <f>IF(AND($A11&gt;=#REF!,#REF!&gt;=$A11),$A11,"")</f>
        <v>#REF!</v>
      </c>
      <c r="AD11" s="13" t="e">
        <f>IF(AND(AC11&gt;=#REF!,#REF!&gt;=AC11),VLOOKUP($N$5,'Material index'!$H$6:$BD$61,VLOOKUP(AC11,$A$5:$B$53,2,FALSE),FALSE),"")</f>
        <v>#REF!</v>
      </c>
    </row>
    <row r="12" spans="1:30">
      <c r="A12" s="15">
        <v>39264</v>
      </c>
      <c r="B12" s="16">
        <v>8</v>
      </c>
      <c r="C12" s="15" t="e">
        <f>IF(AND($A12&gt;=#REF!,#REF!&gt;=$A12),$A12,"")</f>
        <v>#REF!</v>
      </c>
      <c r="D12" s="13" t="e">
        <f>IF(AND(C12&gt;=#REF!,#REF!&gt;=C12),VLOOKUP($D$5,'Material index'!$H$6:$BD$61,VLOOKUP(C12,$A$5:$B$53,2,FALSE),FALSE),"")</f>
        <v>#REF!</v>
      </c>
      <c r="E12" s="15" t="e">
        <f>IF(AND($A12&gt;=#REF!,#REF!&gt;=$A12),$A12,"")</f>
        <v>#REF!</v>
      </c>
      <c r="F12" s="13" t="e">
        <f>IF(AND(E12&gt;=#REF!,#REF!&gt;=E12),VLOOKUP($F$5,'Material index'!$H$6:$BD$61,VLOOKUP(E12,$A$5:$B$53,2,FALSE),FALSE),"")</f>
        <v>#REF!</v>
      </c>
      <c r="G12" s="15" t="e">
        <f>IF(AND($A12&gt;=#REF!,#REF!&gt;=$A12),$A12,"")</f>
        <v>#REF!</v>
      </c>
      <c r="H12" s="13" t="e">
        <f>IF(AND(G12&gt;=#REF!,#REF!&gt;=G12),VLOOKUP($H$5,'Material index'!$H$6:$BD$61,VLOOKUP(G12,$A$5:$B$53,2,FALSE),FALSE),"")</f>
        <v>#REF!</v>
      </c>
      <c r="I12" s="15" t="e">
        <f>IF(AND($A12&gt;=#REF!,#REF!&gt;=$A12),$A12,"")</f>
        <v>#REF!</v>
      </c>
      <c r="J12" s="13" t="e">
        <f>IF(AND(I12&gt;=#REF!,#REF!&gt;=I12),VLOOKUP($J$5,'Material index'!$H$6:$BD$61,VLOOKUP(I12,$A$5:$B$53,2,FALSE),FALSE),"")</f>
        <v>#REF!</v>
      </c>
      <c r="K12" s="15" t="e">
        <f>IF(AND($A12&gt;=#REF!,#REF!&gt;=$A12),$A12,"")</f>
        <v>#REF!</v>
      </c>
      <c r="L12" s="13" t="e">
        <f>IF(AND(K12&gt;=#REF!,#REF!&gt;=K12),VLOOKUP($L$5,'Material index'!$H$6:$BD$61,VLOOKUP(K12,$A$5:$B$53,2,FALSE),FALSE),"")</f>
        <v>#REF!</v>
      </c>
      <c r="M12" s="15" t="e">
        <f>IF(AND($A12&gt;=#REF!,#REF!&gt;=$A12),$A12,"")</f>
        <v>#REF!</v>
      </c>
      <c r="N12" s="13" t="e">
        <f>IF(AND(M12&gt;=#REF!,#REF!&gt;=M12),VLOOKUP($N$5,'Material index'!$H$6:$BD$61,VLOOKUP(M12,$A$5:$B$53,2,FALSE),FALSE),"")</f>
        <v>#REF!</v>
      </c>
      <c r="O12" s="14"/>
      <c r="P12" s="14"/>
      <c r="Q12" s="15">
        <v>39264</v>
      </c>
      <c r="R12" s="16">
        <v>8</v>
      </c>
      <c r="S12" s="15" t="e">
        <f>IF(AND($A12&gt;=#REF!,#REF!&gt;=$A12),$A12,"")</f>
        <v>#REF!</v>
      </c>
      <c r="T12" s="13" t="e">
        <f>IF(AND(S12&gt;=#REF!,#REF!&gt;=S12),VLOOKUP($D$5,'Material index'!$H$6:$BD$61,VLOOKUP(S12,$A$5:$B$53,2,FALSE),FALSE),"")</f>
        <v>#REF!</v>
      </c>
      <c r="U12" s="15" t="e">
        <f>IF(AND($A12&gt;=#REF!,#REF!&gt;=$A12),$A12,"")</f>
        <v>#REF!</v>
      </c>
      <c r="V12" s="13" t="e">
        <f>IF(AND(U12&gt;=#REF!,#REF!&gt;=U12),VLOOKUP($F$5,'Material index'!$H$6:$BD$61,VLOOKUP(U12,$A$5:$B$53,2,FALSE),FALSE),"")</f>
        <v>#REF!</v>
      </c>
      <c r="W12" s="15" t="e">
        <f>IF(AND($A12&gt;=#REF!,#REF!&gt;=$A12),$A12,"")</f>
        <v>#REF!</v>
      </c>
      <c r="X12" s="13" t="e">
        <f>IF(AND(W12&gt;=#REF!,#REF!&gt;=W12),VLOOKUP($H$5,'Material index'!$H$6:$BD$61,VLOOKUP(W12,$A$5:$B$53,2,FALSE),FALSE),"")</f>
        <v>#REF!</v>
      </c>
      <c r="Y12" s="15" t="e">
        <f>IF(AND($A12&gt;=#REF!,#REF!&gt;=$A12),$A12,"")</f>
        <v>#REF!</v>
      </c>
      <c r="Z12" s="13" t="e">
        <f>IF(AND(Y12&gt;=#REF!,#REF!&gt;=Y12),VLOOKUP($J$5,'Material index'!$H$6:$BD$61,VLOOKUP(Y12,$A$5:$B$53,2,FALSE),FALSE),"")</f>
        <v>#REF!</v>
      </c>
      <c r="AA12" s="15" t="e">
        <f>IF(AND($A12&gt;=#REF!,#REF!&gt;=$A12),$A12,"")</f>
        <v>#REF!</v>
      </c>
      <c r="AB12" s="13" t="e">
        <f>IF(AND(AA12&gt;=#REF!,#REF!&gt;=AA12),VLOOKUP($L$5,'Material index'!$H$6:$BD$61,VLOOKUP(AA12,$A$5:$B$53,2,FALSE),FALSE),"")</f>
        <v>#REF!</v>
      </c>
      <c r="AC12" s="15" t="e">
        <f>IF(AND($A12&gt;=#REF!,#REF!&gt;=$A12),$A12,"")</f>
        <v>#REF!</v>
      </c>
      <c r="AD12" s="13" t="e">
        <f>IF(AND(AC12&gt;=#REF!,#REF!&gt;=AC12),VLOOKUP($N$5,'Material index'!$H$6:$BD$61,VLOOKUP(AC12,$A$5:$B$53,2,FALSE),FALSE),"")</f>
        <v>#REF!</v>
      </c>
    </row>
    <row r="13" spans="1:30">
      <c r="A13" s="15">
        <v>39295</v>
      </c>
      <c r="B13" s="16">
        <v>9</v>
      </c>
      <c r="C13" s="15" t="e">
        <f>IF(AND($A13&gt;=#REF!,#REF!&gt;=$A13),$A13,"")</f>
        <v>#REF!</v>
      </c>
      <c r="D13" s="13" t="e">
        <f>IF(AND(C13&gt;=#REF!,#REF!&gt;=C13),VLOOKUP($D$5,'Material index'!$H$6:$BD$61,VLOOKUP(C13,$A$5:$B$53,2,FALSE),FALSE),"")</f>
        <v>#REF!</v>
      </c>
      <c r="E13" s="15" t="e">
        <f>IF(AND($A13&gt;=#REF!,#REF!&gt;=$A13),$A13,"")</f>
        <v>#REF!</v>
      </c>
      <c r="F13" s="13" t="e">
        <f>IF(AND(E13&gt;=#REF!,#REF!&gt;=E13),VLOOKUP($F$5,'Material index'!$H$6:$BD$61,VLOOKUP(E13,$A$5:$B$53,2,FALSE),FALSE),"")</f>
        <v>#REF!</v>
      </c>
      <c r="G13" s="15" t="e">
        <f>IF(AND($A13&gt;=#REF!,#REF!&gt;=$A13),$A13,"")</f>
        <v>#REF!</v>
      </c>
      <c r="H13" s="13" t="e">
        <f>IF(AND(G13&gt;=#REF!,#REF!&gt;=G13),VLOOKUP($H$5,'Material index'!$H$6:$BD$61,VLOOKUP(G13,$A$5:$B$53,2,FALSE),FALSE),"")</f>
        <v>#REF!</v>
      </c>
      <c r="I13" s="15" t="e">
        <f>IF(AND($A13&gt;=#REF!,#REF!&gt;=$A13),$A13,"")</f>
        <v>#REF!</v>
      </c>
      <c r="J13" s="13" t="e">
        <f>IF(AND(I13&gt;=#REF!,#REF!&gt;=I13),VLOOKUP($J$5,'Material index'!$H$6:$BD$61,VLOOKUP(I13,$A$5:$B$53,2,FALSE),FALSE),"")</f>
        <v>#REF!</v>
      </c>
      <c r="K13" s="15" t="e">
        <f>IF(AND($A13&gt;=#REF!,#REF!&gt;=$A13),$A13,"")</f>
        <v>#REF!</v>
      </c>
      <c r="L13" s="13" t="e">
        <f>IF(AND(K13&gt;=#REF!,#REF!&gt;=K13),VLOOKUP($L$5,'Material index'!$H$6:$BD$61,VLOOKUP(K13,$A$5:$B$53,2,FALSE),FALSE),"")</f>
        <v>#REF!</v>
      </c>
      <c r="M13" s="15" t="e">
        <f>IF(AND($A13&gt;=#REF!,#REF!&gt;=$A13),$A13,"")</f>
        <v>#REF!</v>
      </c>
      <c r="N13" s="13" t="e">
        <f>IF(AND(M13&gt;=#REF!,#REF!&gt;=M13),VLOOKUP($N$5,'Material index'!$H$6:$BD$61,VLOOKUP(M13,$A$5:$B$53,2,FALSE),FALSE),"")</f>
        <v>#REF!</v>
      </c>
      <c r="O13" s="14"/>
      <c r="P13" s="14"/>
      <c r="Q13" s="15">
        <v>39295</v>
      </c>
      <c r="R13" s="16">
        <v>9</v>
      </c>
      <c r="S13" s="15" t="e">
        <f>IF(AND($A13&gt;=#REF!,#REF!&gt;=$A13),$A13,"")</f>
        <v>#REF!</v>
      </c>
      <c r="T13" s="13" t="e">
        <f>IF(AND(S13&gt;=#REF!,#REF!&gt;=S13),VLOOKUP($D$5,'Material index'!$H$6:$BD$61,VLOOKUP(S13,$A$5:$B$53,2,FALSE),FALSE),"")</f>
        <v>#REF!</v>
      </c>
      <c r="U13" s="15" t="e">
        <f>IF(AND($A13&gt;=#REF!,#REF!&gt;=$A13),$A13,"")</f>
        <v>#REF!</v>
      </c>
      <c r="V13" s="13" t="e">
        <f>IF(AND(U13&gt;=#REF!,#REF!&gt;=U13),VLOOKUP($F$5,'Material index'!$H$6:$BD$61,VLOOKUP(U13,$A$5:$B$53,2,FALSE),FALSE),"")</f>
        <v>#REF!</v>
      </c>
      <c r="W13" s="15" t="e">
        <f>IF(AND($A13&gt;=#REF!,#REF!&gt;=$A13),$A13,"")</f>
        <v>#REF!</v>
      </c>
      <c r="X13" s="13" t="e">
        <f>IF(AND(W13&gt;=#REF!,#REF!&gt;=W13),VLOOKUP($H$5,'Material index'!$H$6:$BD$61,VLOOKUP(W13,$A$5:$B$53,2,FALSE),FALSE),"")</f>
        <v>#REF!</v>
      </c>
      <c r="Y13" s="15" t="e">
        <f>IF(AND($A13&gt;=#REF!,#REF!&gt;=$A13),$A13,"")</f>
        <v>#REF!</v>
      </c>
      <c r="Z13" s="13" t="e">
        <f>IF(AND(Y13&gt;=#REF!,#REF!&gt;=Y13),VLOOKUP($J$5,'Material index'!$H$6:$BD$61,VLOOKUP(Y13,$A$5:$B$53,2,FALSE),FALSE),"")</f>
        <v>#REF!</v>
      </c>
      <c r="AA13" s="15" t="e">
        <f>IF(AND($A13&gt;=#REF!,#REF!&gt;=$A13),$A13,"")</f>
        <v>#REF!</v>
      </c>
      <c r="AB13" s="13" t="e">
        <f>IF(AND(AA13&gt;=#REF!,#REF!&gt;=AA13),VLOOKUP($L$5,'Material index'!$H$6:$BD$61,VLOOKUP(AA13,$A$5:$B$53,2,FALSE),FALSE),"")</f>
        <v>#REF!</v>
      </c>
      <c r="AC13" s="15" t="e">
        <f>IF(AND($A13&gt;=#REF!,#REF!&gt;=$A13),$A13,"")</f>
        <v>#REF!</v>
      </c>
      <c r="AD13" s="13" t="e">
        <f>IF(AND(AC13&gt;=#REF!,#REF!&gt;=AC13),VLOOKUP($N$5,'Material index'!$H$6:$BD$61,VLOOKUP(AC13,$A$5:$B$53,2,FALSE),FALSE),"")</f>
        <v>#REF!</v>
      </c>
    </row>
    <row r="14" spans="1:30">
      <c r="A14" s="15">
        <v>39326</v>
      </c>
      <c r="B14" s="16">
        <v>10</v>
      </c>
      <c r="C14" s="15" t="e">
        <f>IF(AND($A14&gt;=#REF!,#REF!&gt;=$A14),$A14,"")</f>
        <v>#REF!</v>
      </c>
      <c r="D14" s="13" t="e">
        <f>IF(AND(C14&gt;=#REF!,#REF!&gt;=C14),VLOOKUP($D$5,'Material index'!$H$6:$BD$61,VLOOKUP(C14,$A$5:$B$53,2,FALSE),FALSE),"")</f>
        <v>#REF!</v>
      </c>
      <c r="E14" s="15" t="e">
        <f>IF(AND($A14&gt;=#REF!,#REF!&gt;=$A14),$A14,"")</f>
        <v>#REF!</v>
      </c>
      <c r="F14" s="13" t="e">
        <f>IF(AND(E14&gt;=#REF!,#REF!&gt;=E14),VLOOKUP($F$5,'Material index'!$H$6:$BD$61,VLOOKUP(E14,$A$5:$B$53,2,FALSE),FALSE),"")</f>
        <v>#REF!</v>
      </c>
      <c r="G14" s="15" t="e">
        <f>IF(AND($A14&gt;=#REF!,#REF!&gt;=$A14),$A14,"")</f>
        <v>#REF!</v>
      </c>
      <c r="H14" s="13" t="e">
        <f>IF(AND(G14&gt;=#REF!,#REF!&gt;=G14),VLOOKUP($H$5,'Material index'!$H$6:$BD$61,VLOOKUP(G14,$A$5:$B$53,2,FALSE),FALSE),"")</f>
        <v>#REF!</v>
      </c>
      <c r="I14" s="15" t="e">
        <f>IF(AND($A14&gt;=#REF!,#REF!&gt;=$A14),$A14,"")</f>
        <v>#REF!</v>
      </c>
      <c r="J14" s="13" t="e">
        <f>IF(AND(I14&gt;=#REF!,#REF!&gt;=I14),VLOOKUP($J$5,'Material index'!$H$6:$BD$61,VLOOKUP(I14,$A$5:$B$53,2,FALSE),FALSE),"")</f>
        <v>#REF!</v>
      </c>
      <c r="K14" s="15" t="e">
        <f>IF(AND($A14&gt;=#REF!,#REF!&gt;=$A14),$A14,"")</f>
        <v>#REF!</v>
      </c>
      <c r="L14" s="13" t="e">
        <f>IF(AND(K14&gt;=#REF!,#REF!&gt;=K14),VLOOKUP($L$5,'Material index'!$H$6:$BD$61,VLOOKUP(K14,$A$5:$B$53,2,FALSE),FALSE),"")</f>
        <v>#REF!</v>
      </c>
      <c r="M14" s="15" t="e">
        <f>IF(AND($A14&gt;=#REF!,#REF!&gt;=$A14),$A14,"")</f>
        <v>#REF!</v>
      </c>
      <c r="N14" s="13" t="e">
        <f>IF(AND(M14&gt;=#REF!,#REF!&gt;=M14),VLOOKUP($N$5,'Material index'!$H$6:$BD$61,VLOOKUP(M14,$A$5:$B$53,2,FALSE),FALSE),"")</f>
        <v>#REF!</v>
      </c>
      <c r="O14" s="14"/>
      <c r="P14" s="14"/>
      <c r="Q14" s="15">
        <v>39326</v>
      </c>
      <c r="R14" s="16">
        <v>10</v>
      </c>
      <c r="S14" s="15" t="e">
        <f>IF(AND($A14&gt;=#REF!,#REF!&gt;=$A14),$A14,"")</f>
        <v>#REF!</v>
      </c>
      <c r="T14" s="13" t="e">
        <f>IF(AND(S14&gt;=#REF!,#REF!&gt;=S14),VLOOKUP($D$5,'Material index'!$H$6:$BD$61,VLOOKUP(S14,$A$5:$B$53,2,FALSE),FALSE),"")</f>
        <v>#REF!</v>
      </c>
      <c r="U14" s="15" t="e">
        <f>IF(AND($A14&gt;=#REF!,#REF!&gt;=$A14),$A14,"")</f>
        <v>#REF!</v>
      </c>
      <c r="V14" s="13" t="e">
        <f>IF(AND(U14&gt;=#REF!,#REF!&gt;=U14),VLOOKUP($F$5,'Material index'!$H$6:$BD$61,VLOOKUP(U14,$A$5:$B$53,2,FALSE),FALSE),"")</f>
        <v>#REF!</v>
      </c>
      <c r="W14" s="15" t="e">
        <f>IF(AND($A14&gt;=#REF!,#REF!&gt;=$A14),$A14,"")</f>
        <v>#REF!</v>
      </c>
      <c r="X14" s="13" t="e">
        <f>IF(AND(W14&gt;=#REF!,#REF!&gt;=W14),VLOOKUP($H$5,'Material index'!$H$6:$BD$61,VLOOKUP(W14,$A$5:$B$53,2,FALSE),FALSE),"")</f>
        <v>#REF!</v>
      </c>
      <c r="Y14" s="15" t="e">
        <f>IF(AND($A14&gt;=#REF!,#REF!&gt;=$A14),$A14,"")</f>
        <v>#REF!</v>
      </c>
      <c r="Z14" s="13" t="e">
        <f>IF(AND(Y14&gt;=#REF!,#REF!&gt;=Y14),VLOOKUP($J$5,'Material index'!$H$6:$BD$61,VLOOKUP(Y14,$A$5:$B$53,2,FALSE),FALSE),"")</f>
        <v>#REF!</v>
      </c>
      <c r="AA14" s="15" t="e">
        <f>IF(AND($A14&gt;=#REF!,#REF!&gt;=$A14),$A14,"")</f>
        <v>#REF!</v>
      </c>
      <c r="AB14" s="13" t="e">
        <f>IF(AND(AA14&gt;=#REF!,#REF!&gt;=AA14),VLOOKUP($L$5,'Material index'!$H$6:$BD$61,VLOOKUP(AA14,$A$5:$B$53,2,FALSE),FALSE),"")</f>
        <v>#REF!</v>
      </c>
      <c r="AC14" s="15" t="e">
        <f>IF(AND($A14&gt;=#REF!,#REF!&gt;=$A14),$A14,"")</f>
        <v>#REF!</v>
      </c>
      <c r="AD14" s="13" t="e">
        <f>IF(AND(AC14&gt;=#REF!,#REF!&gt;=AC14),VLOOKUP($N$5,'Material index'!$H$6:$BD$61,VLOOKUP(AC14,$A$5:$B$53,2,FALSE),FALSE),"")</f>
        <v>#REF!</v>
      </c>
    </row>
    <row r="15" spans="1:30">
      <c r="A15" s="15">
        <v>39356</v>
      </c>
      <c r="B15" s="16">
        <v>11</v>
      </c>
      <c r="C15" s="15" t="e">
        <f>IF(AND($A15&gt;=#REF!,#REF!&gt;=$A15),$A15,"")</f>
        <v>#REF!</v>
      </c>
      <c r="D15" s="13" t="e">
        <f>IF(AND(C15&gt;=#REF!,#REF!&gt;=C15),VLOOKUP($D$5,'Material index'!$H$6:$BD$61,VLOOKUP(C15,$A$5:$B$53,2,FALSE),FALSE),"")</f>
        <v>#REF!</v>
      </c>
      <c r="E15" s="15" t="e">
        <f>IF(AND($A15&gt;=#REF!,#REF!&gt;=$A15),$A15,"")</f>
        <v>#REF!</v>
      </c>
      <c r="F15" s="13" t="e">
        <f>IF(AND(E15&gt;=#REF!,#REF!&gt;=E15),VLOOKUP($F$5,'Material index'!$H$6:$BD$61,VLOOKUP(E15,$A$5:$B$53,2,FALSE),FALSE),"")</f>
        <v>#REF!</v>
      </c>
      <c r="G15" s="15" t="e">
        <f>IF(AND($A15&gt;=#REF!,#REF!&gt;=$A15),$A15,"")</f>
        <v>#REF!</v>
      </c>
      <c r="H15" s="13" t="e">
        <f>IF(AND(G15&gt;=#REF!,#REF!&gt;=G15),VLOOKUP($H$5,'Material index'!$H$6:$BD$61,VLOOKUP(G15,$A$5:$B$53,2,FALSE),FALSE),"")</f>
        <v>#REF!</v>
      </c>
      <c r="I15" s="15" t="e">
        <f>IF(AND($A15&gt;=#REF!,#REF!&gt;=$A15),$A15,"")</f>
        <v>#REF!</v>
      </c>
      <c r="J15" s="13" t="e">
        <f>IF(AND(I15&gt;=#REF!,#REF!&gt;=I15),VLOOKUP($J$5,'Material index'!$H$6:$BD$61,VLOOKUP(I15,$A$5:$B$53,2,FALSE),FALSE),"")</f>
        <v>#REF!</v>
      </c>
      <c r="K15" s="15" t="e">
        <f>IF(AND($A15&gt;=#REF!,#REF!&gt;=$A15),$A15,"")</f>
        <v>#REF!</v>
      </c>
      <c r="L15" s="13" t="e">
        <f>IF(AND(K15&gt;=#REF!,#REF!&gt;=K15),VLOOKUP($L$5,'Material index'!$H$6:$BD$61,VLOOKUP(K15,$A$5:$B$53,2,FALSE),FALSE),"")</f>
        <v>#REF!</v>
      </c>
      <c r="M15" s="15" t="e">
        <f>IF(AND($A15&gt;=#REF!,#REF!&gt;=$A15),$A15,"")</f>
        <v>#REF!</v>
      </c>
      <c r="N15" s="13" t="e">
        <f>IF(AND(M15&gt;=#REF!,#REF!&gt;=M15),VLOOKUP($N$5,'Material index'!$H$6:$BD$61,VLOOKUP(M15,$A$5:$B$53,2,FALSE),FALSE),"")</f>
        <v>#REF!</v>
      </c>
      <c r="O15" s="14"/>
      <c r="P15" s="14"/>
      <c r="Q15" s="15">
        <v>39356</v>
      </c>
      <c r="R15" s="16">
        <v>11</v>
      </c>
      <c r="S15" s="15" t="e">
        <f>IF(AND($A15&gt;=#REF!,#REF!&gt;=$A15),$A15,"")</f>
        <v>#REF!</v>
      </c>
      <c r="T15" s="13" t="e">
        <f>IF(AND(S15&gt;=#REF!,#REF!&gt;=S15),VLOOKUP($D$5,'Material index'!$H$6:$BD$61,VLOOKUP(S15,$A$5:$B$53,2,FALSE),FALSE),"")</f>
        <v>#REF!</v>
      </c>
      <c r="U15" s="15" t="e">
        <f>IF(AND($A15&gt;=#REF!,#REF!&gt;=$A15),$A15,"")</f>
        <v>#REF!</v>
      </c>
      <c r="V15" s="13" t="e">
        <f>IF(AND(U15&gt;=#REF!,#REF!&gt;=U15),VLOOKUP($F$5,'Material index'!$H$6:$BD$61,VLOOKUP(U15,$A$5:$B$53,2,FALSE),FALSE),"")</f>
        <v>#REF!</v>
      </c>
      <c r="W15" s="15" t="e">
        <f>IF(AND($A15&gt;=#REF!,#REF!&gt;=$A15),$A15,"")</f>
        <v>#REF!</v>
      </c>
      <c r="X15" s="13" t="e">
        <f>IF(AND(W15&gt;=#REF!,#REF!&gt;=W15),VLOOKUP($H$5,'Material index'!$H$6:$BD$61,VLOOKUP(W15,$A$5:$B$53,2,FALSE),FALSE),"")</f>
        <v>#REF!</v>
      </c>
      <c r="Y15" s="15" t="e">
        <f>IF(AND($A15&gt;=#REF!,#REF!&gt;=$A15),$A15,"")</f>
        <v>#REF!</v>
      </c>
      <c r="Z15" s="13" t="e">
        <f>IF(AND(Y15&gt;=#REF!,#REF!&gt;=Y15),VLOOKUP($J$5,'Material index'!$H$6:$BD$61,VLOOKUP(Y15,$A$5:$B$53,2,FALSE),FALSE),"")</f>
        <v>#REF!</v>
      </c>
      <c r="AA15" s="15" t="e">
        <f>IF(AND($A15&gt;=#REF!,#REF!&gt;=$A15),$A15,"")</f>
        <v>#REF!</v>
      </c>
      <c r="AB15" s="13" t="e">
        <f>IF(AND(AA15&gt;=#REF!,#REF!&gt;=AA15),VLOOKUP($L$5,'Material index'!$H$6:$BD$61,VLOOKUP(AA15,$A$5:$B$53,2,FALSE),FALSE),"")</f>
        <v>#REF!</v>
      </c>
      <c r="AC15" s="15" t="e">
        <f>IF(AND($A15&gt;=#REF!,#REF!&gt;=$A15),$A15,"")</f>
        <v>#REF!</v>
      </c>
      <c r="AD15" s="13" t="e">
        <f>IF(AND(AC15&gt;=#REF!,#REF!&gt;=AC15),VLOOKUP($N$5,'Material index'!$H$6:$BD$61,VLOOKUP(AC15,$A$5:$B$53,2,FALSE),FALSE),"")</f>
        <v>#REF!</v>
      </c>
    </row>
    <row r="16" spans="1:30">
      <c r="A16" s="15">
        <v>39387</v>
      </c>
      <c r="B16" s="16">
        <v>12</v>
      </c>
      <c r="C16" s="15" t="e">
        <f>IF(AND($A16&gt;=#REF!,#REF!&gt;=$A16),$A16,"")</f>
        <v>#REF!</v>
      </c>
      <c r="D16" s="13" t="e">
        <f>IF(AND(C16&gt;=#REF!,#REF!&gt;=C16),VLOOKUP($D$5,'Material index'!$H$6:$BD$61,VLOOKUP(C16,$A$5:$B$53,2,FALSE),FALSE),"")</f>
        <v>#REF!</v>
      </c>
      <c r="E16" s="15" t="e">
        <f>IF(AND($A16&gt;=#REF!,#REF!&gt;=$A16),$A16,"")</f>
        <v>#REF!</v>
      </c>
      <c r="F16" s="13" t="e">
        <f>IF(AND(E16&gt;=#REF!,#REF!&gt;=E16),VLOOKUP($F$5,'Material index'!$H$6:$BD$61,VLOOKUP(E16,$A$5:$B$53,2,FALSE),FALSE),"")</f>
        <v>#REF!</v>
      </c>
      <c r="G16" s="15" t="e">
        <f>IF(AND($A16&gt;=#REF!,#REF!&gt;=$A16),$A16,"")</f>
        <v>#REF!</v>
      </c>
      <c r="H16" s="13" t="e">
        <f>IF(AND(G16&gt;=#REF!,#REF!&gt;=G16),VLOOKUP($H$5,'Material index'!$H$6:$BD$61,VLOOKUP(G16,$A$5:$B$53,2,FALSE),FALSE),"")</f>
        <v>#REF!</v>
      </c>
      <c r="I16" s="15" t="e">
        <f>IF(AND($A16&gt;=#REF!,#REF!&gt;=$A16),$A16,"")</f>
        <v>#REF!</v>
      </c>
      <c r="J16" s="13" t="e">
        <f>IF(AND(I16&gt;=#REF!,#REF!&gt;=I16),VLOOKUP($J$5,'Material index'!$H$6:$BD$61,VLOOKUP(I16,$A$5:$B$53,2,FALSE),FALSE),"")</f>
        <v>#REF!</v>
      </c>
      <c r="K16" s="15" t="e">
        <f>IF(AND($A16&gt;=#REF!,#REF!&gt;=$A16),$A16,"")</f>
        <v>#REF!</v>
      </c>
      <c r="L16" s="13" t="e">
        <f>IF(AND(K16&gt;=#REF!,#REF!&gt;=K16),VLOOKUP($L$5,'Material index'!$H$6:$BD$61,VLOOKUP(K16,$A$5:$B$53,2,FALSE),FALSE),"")</f>
        <v>#REF!</v>
      </c>
      <c r="M16" s="15" t="e">
        <f>IF(AND($A16&gt;=#REF!,#REF!&gt;=$A16),$A16,"")</f>
        <v>#REF!</v>
      </c>
      <c r="N16" s="13" t="e">
        <f>IF(AND(M16&gt;=#REF!,#REF!&gt;=M16),VLOOKUP($N$5,'Material index'!$H$6:$BD$61,VLOOKUP(M16,$A$5:$B$53,2,FALSE),FALSE),"")</f>
        <v>#REF!</v>
      </c>
      <c r="O16" s="14"/>
      <c r="P16" s="14"/>
      <c r="Q16" s="15">
        <v>39387</v>
      </c>
      <c r="R16" s="16">
        <v>12</v>
      </c>
      <c r="S16" s="15" t="e">
        <f>IF(AND($A16&gt;=#REF!,#REF!&gt;=$A16),$A16,"")</f>
        <v>#REF!</v>
      </c>
      <c r="T16" s="13" t="e">
        <f>IF(AND(S16&gt;=#REF!,#REF!&gt;=S16),VLOOKUP($D$5,'Material index'!$H$6:$BD$61,VLOOKUP(S16,$A$5:$B$53,2,FALSE),FALSE),"")</f>
        <v>#REF!</v>
      </c>
      <c r="U16" s="15" t="e">
        <f>IF(AND($A16&gt;=#REF!,#REF!&gt;=$A16),$A16,"")</f>
        <v>#REF!</v>
      </c>
      <c r="V16" s="13" t="e">
        <f>IF(AND(U16&gt;=#REF!,#REF!&gt;=U16),VLOOKUP($F$5,'Material index'!$H$6:$BD$61,VLOOKUP(U16,$A$5:$B$53,2,FALSE),FALSE),"")</f>
        <v>#REF!</v>
      </c>
      <c r="W16" s="15" t="e">
        <f>IF(AND($A16&gt;=#REF!,#REF!&gt;=$A16),$A16,"")</f>
        <v>#REF!</v>
      </c>
      <c r="X16" s="13" t="e">
        <f>IF(AND(W16&gt;=#REF!,#REF!&gt;=W16),VLOOKUP($H$5,'Material index'!$H$6:$BD$61,VLOOKUP(W16,$A$5:$B$53,2,FALSE),FALSE),"")</f>
        <v>#REF!</v>
      </c>
      <c r="Y16" s="15" t="e">
        <f>IF(AND($A16&gt;=#REF!,#REF!&gt;=$A16),$A16,"")</f>
        <v>#REF!</v>
      </c>
      <c r="Z16" s="13" t="e">
        <f>IF(AND(Y16&gt;=#REF!,#REF!&gt;=Y16),VLOOKUP($J$5,'Material index'!$H$6:$BD$61,VLOOKUP(Y16,$A$5:$B$53,2,FALSE),FALSE),"")</f>
        <v>#REF!</v>
      </c>
      <c r="AA16" s="15" t="e">
        <f>IF(AND($A16&gt;=#REF!,#REF!&gt;=$A16),$A16,"")</f>
        <v>#REF!</v>
      </c>
      <c r="AB16" s="13" t="e">
        <f>IF(AND(AA16&gt;=#REF!,#REF!&gt;=AA16),VLOOKUP($L$5,'Material index'!$H$6:$BD$61,VLOOKUP(AA16,$A$5:$B$53,2,FALSE),FALSE),"")</f>
        <v>#REF!</v>
      </c>
      <c r="AC16" s="15" t="e">
        <f>IF(AND($A16&gt;=#REF!,#REF!&gt;=$A16),$A16,"")</f>
        <v>#REF!</v>
      </c>
      <c r="AD16" s="13" t="e">
        <f>IF(AND(AC16&gt;=#REF!,#REF!&gt;=AC16),VLOOKUP($N$5,'Material index'!$H$6:$BD$61,VLOOKUP(AC16,$A$5:$B$53,2,FALSE),FALSE),"")</f>
        <v>#REF!</v>
      </c>
    </row>
    <row r="17" spans="1:40">
      <c r="A17" s="15">
        <v>39417</v>
      </c>
      <c r="B17" s="16">
        <v>13</v>
      </c>
      <c r="C17" s="15" t="e">
        <f>IF(AND($A17&gt;=#REF!,#REF!&gt;=$A17),$A17,"")</f>
        <v>#REF!</v>
      </c>
      <c r="D17" s="13" t="e">
        <f>IF(AND(C17&gt;=#REF!,#REF!&gt;=C17),VLOOKUP($D$5,'Material index'!$H$6:$BD$61,VLOOKUP(C17,$A$5:$B$53,2,FALSE),FALSE),"")</f>
        <v>#REF!</v>
      </c>
      <c r="E17" s="15" t="e">
        <f>IF(AND($A17&gt;=#REF!,#REF!&gt;=$A17),$A17,"")</f>
        <v>#REF!</v>
      </c>
      <c r="F17" s="13" t="e">
        <f>IF(AND(E17&gt;=#REF!,#REF!&gt;=E17),VLOOKUP($F$5,'Material index'!$H$6:$BD$61,VLOOKUP(E17,$A$5:$B$53,2,FALSE),FALSE),"")</f>
        <v>#REF!</v>
      </c>
      <c r="G17" s="15" t="e">
        <f>IF(AND($A17&gt;=#REF!,#REF!&gt;=$A17),$A17,"")</f>
        <v>#REF!</v>
      </c>
      <c r="H17" s="13" t="e">
        <f>IF(AND(G17&gt;=#REF!,#REF!&gt;=G17),VLOOKUP($H$5,'Material index'!$H$6:$BD$61,VLOOKUP(G17,$A$5:$B$53,2,FALSE),FALSE),"")</f>
        <v>#REF!</v>
      </c>
      <c r="I17" s="15" t="e">
        <f>IF(AND($A17&gt;=#REF!,#REF!&gt;=$A17),$A17,"")</f>
        <v>#REF!</v>
      </c>
      <c r="J17" s="13" t="e">
        <f>IF(AND(I17&gt;=#REF!,#REF!&gt;=I17),VLOOKUP($J$5,'Material index'!$H$6:$BD$61,VLOOKUP(I17,$A$5:$B$53,2,FALSE),FALSE),"")</f>
        <v>#REF!</v>
      </c>
      <c r="K17" s="15" t="e">
        <f>IF(AND($A17&gt;=#REF!,#REF!&gt;=$A17),$A17,"")</f>
        <v>#REF!</v>
      </c>
      <c r="L17" s="13" t="e">
        <f>IF(AND(K17&gt;=#REF!,#REF!&gt;=K17),VLOOKUP($L$5,'Material index'!$H$6:$BD$61,VLOOKUP(K17,$A$5:$B$53,2,FALSE),FALSE),"")</f>
        <v>#REF!</v>
      </c>
      <c r="M17" s="15" t="e">
        <f>IF(AND($A17&gt;=#REF!,#REF!&gt;=$A17),$A17,"")</f>
        <v>#REF!</v>
      </c>
      <c r="N17" s="13" t="e">
        <f>IF(AND(M17&gt;=#REF!,#REF!&gt;=M17),VLOOKUP($N$5,'Material index'!$H$6:$BD$61,VLOOKUP(M17,$A$5:$B$53,2,FALSE),FALSE),"")</f>
        <v>#REF!</v>
      </c>
      <c r="O17" s="14"/>
      <c r="P17" s="14"/>
      <c r="Q17" s="15">
        <v>39417</v>
      </c>
      <c r="R17" s="16">
        <v>13</v>
      </c>
      <c r="S17" s="15" t="e">
        <f>IF(AND($A17&gt;=#REF!,#REF!&gt;=$A17),$A17,"")</f>
        <v>#REF!</v>
      </c>
      <c r="T17" s="13" t="e">
        <f>IF(AND(S17&gt;=#REF!,#REF!&gt;=S17),VLOOKUP($D$5,'Material index'!$H$6:$BD$61,VLOOKUP(S17,$A$5:$B$53,2,FALSE),FALSE),"")</f>
        <v>#REF!</v>
      </c>
      <c r="U17" s="15" t="e">
        <f>IF(AND($A17&gt;=#REF!,#REF!&gt;=$A17),$A17,"")</f>
        <v>#REF!</v>
      </c>
      <c r="V17" s="13" t="e">
        <f>IF(AND(U17&gt;=#REF!,#REF!&gt;=U17),VLOOKUP($F$5,'Material index'!$H$6:$BD$61,VLOOKUP(U17,$A$5:$B$53,2,FALSE),FALSE),"")</f>
        <v>#REF!</v>
      </c>
      <c r="W17" s="15" t="e">
        <f>IF(AND($A17&gt;=#REF!,#REF!&gt;=$A17),$A17,"")</f>
        <v>#REF!</v>
      </c>
      <c r="X17" s="13" t="e">
        <f>IF(AND(W17&gt;=#REF!,#REF!&gt;=W17),VLOOKUP($H$5,'Material index'!$H$6:$BD$61,VLOOKUP(W17,$A$5:$B$53,2,FALSE),FALSE),"")</f>
        <v>#REF!</v>
      </c>
      <c r="Y17" s="15" t="e">
        <f>IF(AND($A17&gt;=#REF!,#REF!&gt;=$A17),$A17,"")</f>
        <v>#REF!</v>
      </c>
      <c r="Z17" s="13" t="e">
        <f>IF(AND(Y17&gt;=#REF!,#REF!&gt;=Y17),VLOOKUP($J$5,'Material index'!$H$6:$BD$61,VLOOKUP(Y17,$A$5:$B$53,2,FALSE),FALSE),"")</f>
        <v>#REF!</v>
      </c>
      <c r="AA17" s="15" t="e">
        <f>IF(AND($A17&gt;=#REF!,#REF!&gt;=$A17),$A17,"")</f>
        <v>#REF!</v>
      </c>
      <c r="AB17" s="13" t="e">
        <f>IF(AND(AA17&gt;=#REF!,#REF!&gt;=AA17),VLOOKUP($L$5,'Material index'!$H$6:$BD$61,VLOOKUP(AA17,$A$5:$B$53,2,FALSE),FALSE),"")</f>
        <v>#REF!</v>
      </c>
      <c r="AC17" s="15" t="e">
        <f>IF(AND($A17&gt;=#REF!,#REF!&gt;=$A17),$A17,"")</f>
        <v>#REF!</v>
      </c>
      <c r="AD17" s="13" t="e">
        <f>IF(AND(AC17&gt;=#REF!,#REF!&gt;=AC17),VLOOKUP($N$5,'Material index'!$H$6:$BD$61,VLOOKUP(AC17,$A$5:$B$53,2,FALSE),FALSE),"")</f>
        <v>#REF!</v>
      </c>
    </row>
    <row r="18" spans="1:40">
      <c r="A18" s="15">
        <v>39448</v>
      </c>
      <c r="B18" s="16">
        <v>14</v>
      </c>
      <c r="C18" s="15" t="e">
        <f>IF(AND($A18&gt;=#REF!,#REF!&gt;=$A18),$A18,"")</f>
        <v>#REF!</v>
      </c>
      <c r="D18" s="13" t="e">
        <f>IF(AND(C18&gt;=#REF!,#REF!&gt;=C18),VLOOKUP($D$5,'Material index'!$H$6:$BD$61,VLOOKUP(C18,$A$5:$B$53,2,FALSE),FALSE),"")</f>
        <v>#REF!</v>
      </c>
      <c r="E18" s="15" t="e">
        <f>IF(AND($A18&gt;=#REF!,#REF!&gt;=$A18),$A18,"")</f>
        <v>#REF!</v>
      </c>
      <c r="F18" s="13" t="e">
        <f>IF(AND(E18&gt;=#REF!,#REF!&gt;=E18),VLOOKUP($F$5,'Material index'!$H$6:$BD$61,VLOOKUP(E18,$A$5:$B$53,2,FALSE),FALSE),"")</f>
        <v>#REF!</v>
      </c>
      <c r="G18" s="15" t="e">
        <f>IF(AND($A18&gt;=#REF!,#REF!&gt;=$A18),$A18,"")</f>
        <v>#REF!</v>
      </c>
      <c r="H18" s="13" t="e">
        <f>IF(AND(G18&gt;=#REF!,#REF!&gt;=G18),VLOOKUP($H$5,'Material index'!$H$6:$BD$61,VLOOKUP(G18,$A$5:$B$53,2,FALSE),FALSE),"")</f>
        <v>#REF!</v>
      </c>
      <c r="I18" s="15" t="e">
        <f>IF(AND($A18&gt;=#REF!,#REF!&gt;=$A18),$A18,"")</f>
        <v>#REF!</v>
      </c>
      <c r="J18" s="13" t="e">
        <f>IF(AND(I18&gt;=#REF!,#REF!&gt;=I18),VLOOKUP($J$5,'Material index'!$H$6:$BD$61,VLOOKUP(I18,$A$5:$B$53,2,FALSE),FALSE),"")</f>
        <v>#REF!</v>
      </c>
      <c r="K18" s="15" t="e">
        <f>IF(AND($A18&gt;=#REF!,#REF!&gt;=$A18),$A18,"")</f>
        <v>#REF!</v>
      </c>
      <c r="L18" s="13" t="e">
        <f>IF(AND(K18&gt;=#REF!,#REF!&gt;=K18),VLOOKUP($L$5,'Material index'!$H$6:$BD$61,VLOOKUP(K18,$A$5:$B$53,2,FALSE),FALSE),"")</f>
        <v>#REF!</v>
      </c>
      <c r="M18" s="15" t="e">
        <f>IF(AND($A18&gt;=#REF!,#REF!&gt;=$A18),$A18,"")</f>
        <v>#REF!</v>
      </c>
      <c r="N18" s="13" t="e">
        <f>IF(AND(M18&gt;=#REF!,#REF!&gt;=M18),VLOOKUP($N$5,'Material index'!$H$6:$BD$61,VLOOKUP(M18,$A$5:$B$53,2,FALSE),FALSE),"")</f>
        <v>#REF!</v>
      </c>
      <c r="O18" s="14"/>
      <c r="P18" s="14"/>
      <c r="Q18" s="15">
        <v>39448</v>
      </c>
      <c r="R18" s="16">
        <v>14</v>
      </c>
      <c r="S18" s="15" t="e">
        <f>IF(AND($A18&gt;=#REF!,#REF!&gt;=$A18),$A18,"")</f>
        <v>#REF!</v>
      </c>
      <c r="T18" s="13" t="e">
        <f>IF(AND(S18&gt;=#REF!,#REF!&gt;=S18),VLOOKUP($D$5,'Material index'!$H$6:$BD$61,VLOOKUP(S18,$A$5:$B$53,2,FALSE),FALSE),"")</f>
        <v>#REF!</v>
      </c>
      <c r="U18" s="15" t="e">
        <f>IF(AND($A18&gt;=#REF!,#REF!&gt;=$A18),$A18,"")</f>
        <v>#REF!</v>
      </c>
      <c r="V18" s="13" t="e">
        <f>IF(AND(U18&gt;=#REF!,#REF!&gt;=U18),VLOOKUP($F$5,'Material index'!$H$6:$BD$61,VLOOKUP(U18,$A$5:$B$53,2,FALSE),FALSE),"")</f>
        <v>#REF!</v>
      </c>
      <c r="W18" s="15" t="e">
        <f>IF(AND($A18&gt;=#REF!,#REF!&gt;=$A18),$A18,"")</f>
        <v>#REF!</v>
      </c>
      <c r="X18" s="13" t="e">
        <f>IF(AND(W18&gt;=#REF!,#REF!&gt;=W18),VLOOKUP($H$5,'Material index'!$H$6:$BD$61,VLOOKUP(W18,$A$5:$B$53,2,FALSE),FALSE),"")</f>
        <v>#REF!</v>
      </c>
      <c r="Y18" s="15" t="e">
        <f>IF(AND($A18&gt;=#REF!,#REF!&gt;=$A18),$A18,"")</f>
        <v>#REF!</v>
      </c>
      <c r="Z18" s="13" t="e">
        <f>IF(AND(Y18&gt;=#REF!,#REF!&gt;=Y18),VLOOKUP($J$5,'Material index'!$H$6:$BD$61,VLOOKUP(Y18,$A$5:$B$53,2,FALSE),FALSE),"")</f>
        <v>#REF!</v>
      </c>
      <c r="AA18" s="15" t="e">
        <f>IF(AND($A18&gt;=#REF!,#REF!&gt;=$A18),$A18,"")</f>
        <v>#REF!</v>
      </c>
      <c r="AB18" s="13" t="e">
        <f>IF(AND(AA18&gt;=#REF!,#REF!&gt;=AA18),VLOOKUP($L$5,'Material index'!$H$6:$BD$61,VLOOKUP(AA18,$A$5:$B$53,2,FALSE),FALSE),"")</f>
        <v>#REF!</v>
      </c>
      <c r="AC18" s="15" t="e">
        <f>IF(AND($A18&gt;=#REF!,#REF!&gt;=$A18),$A18,"")</f>
        <v>#REF!</v>
      </c>
      <c r="AD18" s="13" t="e">
        <f>IF(AND(AC18&gt;=#REF!,#REF!&gt;=AC18),VLOOKUP($N$5,'Material index'!$H$6:$BD$61,VLOOKUP(AC18,$A$5:$B$53,2,FALSE),FALSE),"")</f>
        <v>#REF!</v>
      </c>
    </row>
    <row r="19" spans="1:40">
      <c r="A19" s="15">
        <v>39479</v>
      </c>
      <c r="B19" s="16">
        <v>15</v>
      </c>
      <c r="C19" s="15" t="e">
        <f>IF(AND($A19&gt;=#REF!,#REF!&gt;=$A19),$A19,"")</f>
        <v>#REF!</v>
      </c>
      <c r="D19" s="13" t="e">
        <f>IF(AND(C19&gt;=#REF!,#REF!&gt;=C19),VLOOKUP($D$5,'Material index'!$H$6:$BD$61,VLOOKUP(C19,$A$5:$B$53,2,FALSE),FALSE),"")</f>
        <v>#REF!</v>
      </c>
      <c r="E19" s="15" t="e">
        <f>IF(AND($A19&gt;=#REF!,#REF!&gt;=$A19),$A19,"")</f>
        <v>#REF!</v>
      </c>
      <c r="F19" s="13" t="e">
        <f>IF(AND(E19&gt;=#REF!,#REF!&gt;=E19),VLOOKUP($F$5,'Material index'!$H$6:$BD$61,VLOOKUP(E19,$A$5:$B$53,2,FALSE),FALSE),"")</f>
        <v>#REF!</v>
      </c>
      <c r="G19" s="15" t="e">
        <f>IF(AND($A19&gt;=#REF!,#REF!&gt;=$A19),$A19,"")</f>
        <v>#REF!</v>
      </c>
      <c r="H19" s="13" t="e">
        <f>IF(AND(G19&gt;=#REF!,#REF!&gt;=G19),VLOOKUP($H$5,'Material index'!$H$6:$BD$61,VLOOKUP(G19,$A$5:$B$53,2,FALSE),FALSE),"")</f>
        <v>#REF!</v>
      </c>
      <c r="I19" s="15" t="e">
        <f>IF(AND($A19&gt;=#REF!,#REF!&gt;=$A19),$A19,"")</f>
        <v>#REF!</v>
      </c>
      <c r="J19" s="13" t="e">
        <f>IF(AND(I19&gt;=#REF!,#REF!&gt;=I19),VLOOKUP($J$5,'Material index'!$H$6:$BD$61,VLOOKUP(I19,$A$5:$B$53,2,FALSE),FALSE),"")</f>
        <v>#REF!</v>
      </c>
      <c r="K19" s="15" t="e">
        <f>IF(AND($A19&gt;=#REF!,#REF!&gt;=$A19),$A19,"")</f>
        <v>#REF!</v>
      </c>
      <c r="L19" s="13" t="e">
        <f>IF(AND(K19&gt;=#REF!,#REF!&gt;=K19),VLOOKUP($L$5,'Material index'!$H$6:$BD$61,VLOOKUP(K19,$A$5:$B$53,2,FALSE),FALSE),"")</f>
        <v>#REF!</v>
      </c>
      <c r="M19" s="15" t="e">
        <f>IF(AND($A19&gt;=#REF!,#REF!&gt;=$A19),$A19,"")</f>
        <v>#REF!</v>
      </c>
      <c r="N19" s="13" t="e">
        <f>IF(AND(M19&gt;=#REF!,#REF!&gt;=M19),VLOOKUP($N$5,'Material index'!$H$6:$BD$61,VLOOKUP(M19,$A$5:$B$53,2,FALSE),FALSE),"")</f>
        <v>#REF!</v>
      </c>
      <c r="O19" s="14"/>
      <c r="P19" s="14"/>
      <c r="Q19" s="15">
        <v>39479</v>
      </c>
      <c r="R19" s="16">
        <v>15</v>
      </c>
      <c r="S19" s="15" t="e">
        <f>IF(AND($A19&gt;=#REF!,#REF!&gt;=$A19),$A19,"")</f>
        <v>#REF!</v>
      </c>
      <c r="T19" s="13" t="e">
        <f>IF(AND(S19&gt;=#REF!,#REF!&gt;=S19),VLOOKUP($D$5,'Material index'!$H$6:$BD$61,VLOOKUP(S19,$A$5:$B$53,2,FALSE),FALSE),"")</f>
        <v>#REF!</v>
      </c>
      <c r="U19" s="15" t="e">
        <f>IF(AND($A19&gt;=#REF!,#REF!&gt;=$A19),$A19,"")</f>
        <v>#REF!</v>
      </c>
      <c r="V19" s="13" t="e">
        <f>IF(AND(U19&gt;=#REF!,#REF!&gt;=U19),VLOOKUP($F$5,'Material index'!$H$6:$BD$61,VLOOKUP(U19,$A$5:$B$53,2,FALSE),FALSE),"")</f>
        <v>#REF!</v>
      </c>
      <c r="W19" s="15" t="e">
        <f>IF(AND($A19&gt;=#REF!,#REF!&gt;=$A19),$A19,"")</f>
        <v>#REF!</v>
      </c>
      <c r="X19" s="13" t="e">
        <f>IF(AND(W19&gt;=#REF!,#REF!&gt;=W19),VLOOKUP($H$5,'Material index'!$H$6:$BD$61,VLOOKUP(W19,$A$5:$B$53,2,FALSE),FALSE),"")</f>
        <v>#REF!</v>
      </c>
      <c r="Y19" s="15" t="e">
        <f>IF(AND($A19&gt;=#REF!,#REF!&gt;=$A19),$A19,"")</f>
        <v>#REF!</v>
      </c>
      <c r="Z19" s="13" t="e">
        <f>IF(AND(Y19&gt;=#REF!,#REF!&gt;=Y19),VLOOKUP($J$5,'Material index'!$H$6:$BD$61,VLOOKUP(Y19,$A$5:$B$53,2,FALSE),FALSE),"")</f>
        <v>#REF!</v>
      </c>
      <c r="AA19" s="15" t="e">
        <f>IF(AND($A19&gt;=#REF!,#REF!&gt;=$A19),$A19,"")</f>
        <v>#REF!</v>
      </c>
      <c r="AB19" s="13" t="e">
        <f>IF(AND(AA19&gt;=#REF!,#REF!&gt;=AA19),VLOOKUP($L$5,'Material index'!$H$6:$BD$61,VLOOKUP(AA19,$A$5:$B$53,2,FALSE),FALSE),"")</f>
        <v>#REF!</v>
      </c>
      <c r="AC19" s="15" t="e">
        <f>IF(AND($A19&gt;=#REF!,#REF!&gt;=$A19),$A19,"")</f>
        <v>#REF!</v>
      </c>
      <c r="AD19" s="13" t="e">
        <f>IF(AND(AC19&gt;=#REF!,#REF!&gt;=AC19),VLOOKUP($N$5,'Material index'!$H$6:$BD$61,VLOOKUP(AC19,$A$5:$B$53,2,FALSE),FALSE),"")</f>
        <v>#REF!</v>
      </c>
    </row>
    <row r="20" spans="1:40">
      <c r="A20" s="15">
        <v>39508</v>
      </c>
      <c r="B20" s="16">
        <v>16</v>
      </c>
      <c r="C20" s="15" t="e">
        <f>IF(AND($A20&gt;=#REF!,#REF!&gt;=$A20),$A20,"")</f>
        <v>#REF!</v>
      </c>
      <c r="D20" s="13" t="e">
        <f>IF(AND(C20&gt;=#REF!,#REF!&gt;=C20),VLOOKUP($D$5,'Material index'!$H$6:$BD$61,VLOOKUP(C20,$A$5:$B$53,2,FALSE),FALSE),"")</f>
        <v>#REF!</v>
      </c>
      <c r="E20" s="15" t="e">
        <f>IF(AND($A20&gt;=#REF!,#REF!&gt;=$A20),$A20,"")</f>
        <v>#REF!</v>
      </c>
      <c r="F20" s="13" t="e">
        <f>IF(AND(E20&gt;=#REF!,#REF!&gt;=E20),VLOOKUP($F$5,'Material index'!$H$6:$BD$61,VLOOKUP(E20,$A$5:$B$53,2,FALSE),FALSE),"")</f>
        <v>#REF!</v>
      </c>
      <c r="G20" s="15" t="e">
        <f>IF(AND($A20&gt;=#REF!,#REF!&gt;=$A20),$A20,"")</f>
        <v>#REF!</v>
      </c>
      <c r="H20" s="13" t="e">
        <f>IF(AND(G20&gt;=#REF!,#REF!&gt;=G20),VLOOKUP($H$5,'Material index'!$H$6:$BD$61,VLOOKUP(G20,$A$5:$B$53,2,FALSE),FALSE),"")</f>
        <v>#REF!</v>
      </c>
      <c r="I20" s="15" t="e">
        <f>IF(AND($A20&gt;=#REF!,#REF!&gt;=$A20),$A20,"")</f>
        <v>#REF!</v>
      </c>
      <c r="J20" s="13" t="e">
        <f>IF(AND(I20&gt;=#REF!,#REF!&gt;=I20),VLOOKUP($J$5,'Material index'!$H$6:$BD$61,VLOOKUP(I20,$A$5:$B$53,2,FALSE),FALSE),"")</f>
        <v>#REF!</v>
      </c>
      <c r="K20" s="15" t="e">
        <f>IF(AND($A20&gt;=#REF!,#REF!&gt;=$A20),$A20,"")</f>
        <v>#REF!</v>
      </c>
      <c r="L20" s="13" t="e">
        <f>IF(AND(K20&gt;=#REF!,#REF!&gt;=K20),VLOOKUP($L$5,'Material index'!$H$6:$BD$61,VLOOKUP(K20,$A$5:$B$53,2,FALSE),FALSE),"")</f>
        <v>#REF!</v>
      </c>
      <c r="M20" s="15" t="e">
        <f>IF(AND($A20&gt;=#REF!,#REF!&gt;=$A20),$A20,"")</f>
        <v>#REF!</v>
      </c>
      <c r="N20" s="13" t="e">
        <f>IF(AND(M20&gt;=#REF!,#REF!&gt;=M20),VLOOKUP($N$5,'Material index'!$H$6:$BD$61,VLOOKUP(M20,$A$5:$B$53,2,FALSE),FALSE),"")</f>
        <v>#REF!</v>
      </c>
      <c r="O20" s="14"/>
      <c r="P20" s="14"/>
      <c r="Q20" s="15">
        <v>39508</v>
      </c>
      <c r="R20" s="16">
        <v>16</v>
      </c>
      <c r="S20" s="15" t="e">
        <f>IF(AND($A20&gt;=#REF!,#REF!&gt;=$A20),$A20,"")</f>
        <v>#REF!</v>
      </c>
      <c r="T20" s="13" t="e">
        <f>IF(AND(S20&gt;=#REF!,#REF!&gt;=S20),VLOOKUP($D$5,'Material index'!$H$6:$BD$61,VLOOKUP(S20,$A$5:$B$53,2,FALSE),FALSE),"")</f>
        <v>#REF!</v>
      </c>
      <c r="U20" s="15" t="e">
        <f>IF(AND($A20&gt;=#REF!,#REF!&gt;=$A20),$A20,"")</f>
        <v>#REF!</v>
      </c>
      <c r="V20" s="13" t="e">
        <f>IF(AND(U20&gt;=#REF!,#REF!&gt;=U20),VLOOKUP($F$5,'Material index'!$H$6:$BD$61,VLOOKUP(U20,$A$5:$B$53,2,FALSE),FALSE),"")</f>
        <v>#REF!</v>
      </c>
      <c r="W20" s="15" t="e">
        <f>IF(AND($A20&gt;=#REF!,#REF!&gt;=$A20),$A20,"")</f>
        <v>#REF!</v>
      </c>
      <c r="X20" s="13" t="e">
        <f>IF(AND(W20&gt;=#REF!,#REF!&gt;=W20),VLOOKUP($H$5,'Material index'!$H$6:$BD$61,VLOOKUP(W20,$A$5:$B$53,2,FALSE),FALSE),"")</f>
        <v>#REF!</v>
      </c>
      <c r="Y20" s="15" t="e">
        <f>IF(AND($A20&gt;=#REF!,#REF!&gt;=$A20),$A20,"")</f>
        <v>#REF!</v>
      </c>
      <c r="Z20" s="13" t="e">
        <f>IF(AND(Y20&gt;=#REF!,#REF!&gt;=Y20),VLOOKUP($J$5,'Material index'!$H$6:$BD$61,VLOOKUP(Y20,$A$5:$B$53,2,FALSE),FALSE),"")</f>
        <v>#REF!</v>
      </c>
      <c r="AA20" s="15" t="e">
        <f>IF(AND($A20&gt;=#REF!,#REF!&gt;=$A20),$A20,"")</f>
        <v>#REF!</v>
      </c>
      <c r="AB20" s="13" t="e">
        <f>IF(AND(AA20&gt;=#REF!,#REF!&gt;=AA20),VLOOKUP($L$5,'Material index'!$H$6:$BD$61,VLOOKUP(AA20,$A$5:$B$53,2,FALSE),FALSE),"")</f>
        <v>#REF!</v>
      </c>
      <c r="AC20" s="15" t="e">
        <f>IF(AND($A20&gt;=#REF!,#REF!&gt;=$A20),$A20,"")</f>
        <v>#REF!</v>
      </c>
      <c r="AD20" s="13" t="e">
        <f>IF(AND(AC20&gt;=#REF!,#REF!&gt;=AC20),VLOOKUP($N$5,'Material index'!$H$6:$BD$61,VLOOKUP(AC20,$A$5:$B$53,2,FALSE),FALSE),"")</f>
        <v>#REF!</v>
      </c>
    </row>
    <row r="21" spans="1:40">
      <c r="A21" s="15">
        <v>39539</v>
      </c>
      <c r="B21" s="16">
        <v>17</v>
      </c>
      <c r="C21" s="15" t="e">
        <f>IF(AND($A21&gt;=#REF!,#REF!&gt;=$A21),$A21,"")</f>
        <v>#REF!</v>
      </c>
      <c r="D21" s="13" t="e">
        <f>IF(AND(C21&gt;=#REF!,#REF!&gt;=C21),VLOOKUP($D$5,'Material index'!$H$6:$BD$61,VLOOKUP(C21,$A$5:$B$53,2,FALSE),FALSE),"")</f>
        <v>#REF!</v>
      </c>
      <c r="E21" s="15" t="e">
        <f>IF(AND($A21&gt;=#REF!,#REF!&gt;=$A21),$A21,"")</f>
        <v>#REF!</v>
      </c>
      <c r="F21" s="13" t="e">
        <f>IF(AND(E21&gt;=#REF!,#REF!&gt;=E21),VLOOKUP($F$5,'Material index'!$H$6:$BD$61,VLOOKUP(E21,$A$5:$B$53,2,FALSE),FALSE),"")</f>
        <v>#REF!</v>
      </c>
      <c r="G21" s="15" t="e">
        <f>IF(AND($A21&gt;=#REF!,#REF!&gt;=$A21),$A21,"")</f>
        <v>#REF!</v>
      </c>
      <c r="H21" s="13" t="e">
        <f>IF(AND(G21&gt;=#REF!,#REF!&gt;=G21),VLOOKUP($H$5,'Material index'!$H$6:$BD$61,VLOOKUP(G21,$A$5:$B$53,2,FALSE),FALSE),"")</f>
        <v>#REF!</v>
      </c>
      <c r="I21" s="15" t="e">
        <f>IF(AND($A21&gt;=#REF!,#REF!&gt;=$A21),$A21,"")</f>
        <v>#REF!</v>
      </c>
      <c r="J21" s="13" t="e">
        <f>IF(AND(I21&gt;=#REF!,#REF!&gt;=I21),VLOOKUP($J$5,'Material index'!$H$6:$BD$61,VLOOKUP(I21,$A$5:$B$53,2,FALSE),FALSE),"")</f>
        <v>#REF!</v>
      </c>
      <c r="K21" s="15" t="e">
        <f>IF(AND($A21&gt;=#REF!,#REF!&gt;=$A21),$A21,"")</f>
        <v>#REF!</v>
      </c>
      <c r="L21" s="13" t="e">
        <f>IF(AND(K21&gt;=#REF!,#REF!&gt;=K21),VLOOKUP($L$5,'Material index'!$H$6:$BD$61,VLOOKUP(K21,$A$5:$B$53,2,FALSE),FALSE),"")</f>
        <v>#REF!</v>
      </c>
      <c r="M21" s="15" t="e">
        <f>IF(AND($A21&gt;=#REF!,#REF!&gt;=$A21),$A21,"")</f>
        <v>#REF!</v>
      </c>
      <c r="N21" s="13" t="e">
        <f>IF(AND(M21&gt;=#REF!,#REF!&gt;=M21),VLOOKUP($N$5,'Material index'!$H$6:$BD$61,VLOOKUP(M21,$A$5:$B$53,2,FALSE),FALSE),"")</f>
        <v>#REF!</v>
      </c>
      <c r="O21" s="14"/>
      <c r="P21" s="14"/>
      <c r="Q21" s="15">
        <v>39539</v>
      </c>
      <c r="R21" s="16">
        <v>17</v>
      </c>
      <c r="S21" s="15" t="e">
        <f>IF(AND($A21&gt;=#REF!,#REF!&gt;=$A21),$A21,"")</f>
        <v>#REF!</v>
      </c>
      <c r="T21" s="13" t="e">
        <f>IF(AND(S21&gt;=#REF!,#REF!&gt;=S21),VLOOKUP($D$5,'Material index'!$H$6:$BD$61,VLOOKUP(S21,$A$5:$B$53,2,FALSE),FALSE),"")</f>
        <v>#REF!</v>
      </c>
      <c r="U21" s="15" t="e">
        <f>IF(AND($A21&gt;=#REF!,#REF!&gt;=$A21),$A21,"")</f>
        <v>#REF!</v>
      </c>
      <c r="V21" s="13" t="e">
        <f>IF(AND(U21&gt;=#REF!,#REF!&gt;=U21),VLOOKUP($F$5,'Material index'!$H$6:$BD$61,VLOOKUP(U21,$A$5:$B$53,2,FALSE),FALSE),"")</f>
        <v>#REF!</v>
      </c>
      <c r="W21" s="15" t="e">
        <f>IF(AND($A21&gt;=#REF!,#REF!&gt;=$A21),$A21,"")</f>
        <v>#REF!</v>
      </c>
      <c r="X21" s="13" t="e">
        <f>IF(AND(W21&gt;=#REF!,#REF!&gt;=W21),VLOOKUP($H$5,'Material index'!$H$6:$BD$61,VLOOKUP(W21,$A$5:$B$53,2,FALSE),FALSE),"")</f>
        <v>#REF!</v>
      </c>
      <c r="Y21" s="15" t="e">
        <f>IF(AND($A21&gt;=#REF!,#REF!&gt;=$A21),$A21,"")</f>
        <v>#REF!</v>
      </c>
      <c r="Z21" s="13" t="e">
        <f>IF(AND(Y21&gt;=#REF!,#REF!&gt;=Y21),VLOOKUP($J$5,'Material index'!$H$6:$BD$61,VLOOKUP(Y21,$A$5:$B$53,2,FALSE),FALSE),"")</f>
        <v>#REF!</v>
      </c>
      <c r="AA21" s="15" t="e">
        <f>IF(AND($A21&gt;=#REF!,#REF!&gt;=$A21),$A21,"")</f>
        <v>#REF!</v>
      </c>
      <c r="AB21" s="13" t="e">
        <f>IF(AND(AA21&gt;=#REF!,#REF!&gt;=AA21),VLOOKUP($L$5,'Material index'!$H$6:$BD$61,VLOOKUP(AA21,$A$5:$B$53,2,FALSE),FALSE),"")</f>
        <v>#REF!</v>
      </c>
      <c r="AC21" s="15" t="e">
        <f>IF(AND($A21&gt;=#REF!,#REF!&gt;=$A21),$A21,"")</f>
        <v>#REF!</v>
      </c>
      <c r="AD21" s="13" t="e">
        <f>IF(AND(AC21&gt;=#REF!,#REF!&gt;=AC21),VLOOKUP($N$5,'Material index'!$H$6:$BD$61,VLOOKUP(AC21,$A$5:$B$53,2,FALSE),FALSE),"")</f>
        <v>#REF!</v>
      </c>
    </row>
    <row r="22" spans="1:40">
      <c r="A22" s="15">
        <v>39569</v>
      </c>
      <c r="B22" s="16">
        <v>18</v>
      </c>
      <c r="C22" s="15" t="e">
        <f>IF(AND($A22&gt;=#REF!,#REF!&gt;=$A22),$A22,"")</f>
        <v>#REF!</v>
      </c>
      <c r="D22" s="13" t="e">
        <f>IF(AND(C22&gt;=#REF!,#REF!&gt;=C22),VLOOKUP($D$5,'Material index'!$H$6:$BD$61,VLOOKUP(C22,$A$5:$B$53,2,FALSE),FALSE),"")</f>
        <v>#REF!</v>
      </c>
      <c r="E22" s="15" t="e">
        <f>IF(AND($A22&gt;=#REF!,#REF!&gt;=$A22),$A22,"")</f>
        <v>#REF!</v>
      </c>
      <c r="F22" s="13" t="e">
        <f>IF(AND(E22&gt;=#REF!,#REF!&gt;=E22),VLOOKUP($F$5,'Material index'!$H$6:$BD$61,VLOOKUP(E22,$A$5:$B$53,2,FALSE),FALSE),"")</f>
        <v>#REF!</v>
      </c>
      <c r="G22" s="15" t="e">
        <f>IF(AND($A22&gt;=#REF!,#REF!&gt;=$A22),$A22,"")</f>
        <v>#REF!</v>
      </c>
      <c r="H22" s="13" t="e">
        <f>IF(AND(G22&gt;=#REF!,#REF!&gt;=G22),VLOOKUP($H$5,'Material index'!$H$6:$BD$61,VLOOKUP(G22,$A$5:$B$53,2,FALSE),FALSE),"")</f>
        <v>#REF!</v>
      </c>
      <c r="I22" s="15" t="e">
        <f>IF(AND($A22&gt;=#REF!,#REF!&gt;=$A22),$A22,"")</f>
        <v>#REF!</v>
      </c>
      <c r="J22" s="13" t="e">
        <f>IF(AND(I22&gt;=#REF!,#REF!&gt;=I22),VLOOKUP($J$5,'Material index'!$H$6:$BD$61,VLOOKUP(I22,$A$5:$B$53,2,FALSE),FALSE),"")</f>
        <v>#REF!</v>
      </c>
      <c r="K22" s="15" t="e">
        <f>IF(AND($A22&gt;=#REF!,#REF!&gt;=$A22),$A22,"")</f>
        <v>#REF!</v>
      </c>
      <c r="L22" s="13" t="e">
        <f>IF(AND(K22&gt;=#REF!,#REF!&gt;=K22),VLOOKUP($L$5,'Material index'!$H$6:$BD$61,VLOOKUP(K22,$A$5:$B$53,2,FALSE),FALSE),"")</f>
        <v>#REF!</v>
      </c>
      <c r="M22" s="15" t="e">
        <f>IF(AND($A22&gt;=#REF!,#REF!&gt;=$A22),$A22,"")</f>
        <v>#REF!</v>
      </c>
      <c r="N22" s="13" t="e">
        <f>IF(AND(M22&gt;=#REF!,#REF!&gt;=M22),VLOOKUP($N$5,'Material index'!$H$6:$BD$61,VLOOKUP(M22,$A$5:$B$53,2,FALSE),FALSE),"")</f>
        <v>#REF!</v>
      </c>
      <c r="O22" s="14"/>
      <c r="P22" s="14"/>
      <c r="Q22" s="15">
        <v>39569</v>
      </c>
      <c r="R22" s="16">
        <v>18</v>
      </c>
      <c r="S22" s="15" t="e">
        <f>IF(AND($A22&gt;=#REF!,#REF!&gt;=$A22),$A22,"")</f>
        <v>#REF!</v>
      </c>
      <c r="T22" s="13" t="e">
        <f>IF(AND(S22&gt;=#REF!,#REF!&gt;=S22),VLOOKUP($D$5,'Material index'!$H$6:$BD$61,VLOOKUP(S22,$A$5:$B$53,2,FALSE),FALSE),"")</f>
        <v>#REF!</v>
      </c>
      <c r="U22" s="15" t="e">
        <f>IF(AND($A22&gt;=#REF!,#REF!&gt;=$A22),$A22,"")</f>
        <v>#REF!</v>
      </c>
      <c r="V22" s="13" t="e">
        <f>IF(AND(U22&gt;=#REF!,#REF!&gt;=U22),VLOOKUP($F$5,'Material index'!$H$6:$BD$61,VLOOKUP(U22,$A$5:$B$53,2,FALSE),FALSE),"")</f>
        <v>#REF!</v>
      </c>
      <c r="W22" s="15" t="e">
        <f>IF(AND($A22&gt;=#REF!,#REF!&gt;=$A22),$A22,"")</f>
        <v>#REF!</v>
      </c>
      <c r="X22" s="13" t="e">
        <f>IF(AND(W22&gt;=#REF!,#REF!&gt;=W22),VLOOKUP($H$5,'Material index'!$H$6:$BD$61,VLOOKUP(W22,$A$5:$B$53,2,FALSE),FALSE),"")</f>
        <v>#REF!</v>
      </c>
      <c r="Y22" s="15" t="e">
        <f>IF(AND($A22&gt;=#REF!,#REF!&gt;=$A22),$A22,"")</f>
        <v>#REF!</v>
      </c>
      <c r="Z22" s="13" t="e">
        <f>IF(AND(Y22&gt;=#REF!,#REF!&gt;=Y22),VLOOKUP($J$5,'Material index'!$H$6:$BD$61,VLOOKUP(Y22,$A$5:$B$53,2,FALSE),FALSE),"")</f>
        <v>#REF!</v>
      </c>
      <c r="AA22" s="15" t="e">
        <f>IF(AND($A22&gt;=#REF!,#REF!&gt;=$A22),$A22,"")</f>
        <v>#REF!</v>
      </c>
      <c r="AB22" s="13" t="e">
        <f>IF(AND(AA22&gt;=#REF!,#REF!&gt;=AA22),VLOOKUP($L$5,'Material index'!$H$6:$BD$61,VLOOKUP(AA22,$A$5:$B$53,2,FALSE),FALSE),"")</f>
        <v>#REF!</v>
      </c>
      <c r="AC22" s="15" t="e">
        <f>IF(AND($A22&gt;=#REF!,#REF!&gt;=$A22),$A22,"")</f>
        <v>#REF!</v>
      </c>
      <c r="AD22" s="13" t="e">
        <f>IF(AND(AC22&gt;=#REF!,#REF!&gt;=AC22),VLOOKUP($N$5,'Material index'!$H$6:$BD$61,VLOOKUP(AC22,$A$5:$B$53,2,FALSE),FALSE),"")</f>
        <v>#REF!</v>
      </c>
      <c r="AM22" s="15"/>
      <c r="AN22" s="15"/>
    </row>
    <row r="23" spans="1:40">
      <c r="A23" s="15">
        <v>39600</v>
      </c>
      <c r="B23" s="16">
        <v>19</v>
      </c>
      <c r="C23" s="15" t="e">
        <f>IF(AND($A23&gt;=#REF!,#REF!&gt;=$A23),$A23,"")</f>
        <v>#REF!</v>
      </c>
      <c r="D23" s="13" t="e">
        <f>IF(AND(C23&gt;=#REF!,#REF!&gt;=C23),VLOOKUP($D$5,'Material index'!$H$6:$BD$61,VLOOKUP(C23,$A$5:$B$53,2,FALSE),FALSE),"")</f>
        <v>#REF!</v>
      </c>
      <c r="E23" s="15" t="e">
        <f>IF(AND($A23&gt;=#REF!,#REF!&gt;=$A23),$A23,"")</f>
        <v>#REF!</v>
      </c>
      <c r="F23" s="13" t="e">
        <f>IF(AND(E23&gt;=#REF!,#REF!&gt;=E23),VLOOKUP($F$5,'Material index'!$H$6:$BD$61,VLOOKUP(E23,$A$5:$B$53,2,FALSE),FALSE),"")</f>
        <v>#REF!</v>
      </c>
      <c r="G23" s="15" t="e">
        <f>IF(AND($A23&gt;=#REF!,#REF!&gt;=$A23),$A23,"")</f>
        <v>#REF!</v>
      </c>
      <c r="H23" s="13" t="e">
        <f>IF(AND(G23&gt;=#REF!,#REF!&gt;=G23),VLOOKUP($H$5,'Material index'!$H$6:$BD$61,VLOOKUP(G23,$A$5:$B$53,2,FALSE),FALSE),"")</f>
        <v>#REF!</v>
      </c>
      <c r="I23" s="15" t="e">
        <f>IF(AND($A23&gt;=#REF!,#REF!&gt;=$A23),$A23,"")</f>
        <v>#REF!</v>
      </c>
      <c r="J23" s="13" t="e">
        <f>IF(AND(I23&gt;=#REF!,#REF!&gt;=I23),VLOOKUP($J$5,'Material index'!$H$6:$BD$61,VLOOKUP(I23,$A$5:$B$53,2,FALSE),FALSE),"")</f>
        <v>#REF!</v>
      </c>
      <c r="K23" s="15" t="e">
        <f>IF(AND($A23&gt;=#REF!,#REF!&gt;=$A23),$A23,"")</f>
        <v>#REF!</v>
      </c>
      <c r="L23" s="13" t="e">
        <f>IF(AND(K23&gt;=#REF!,#REF!&gt;=K23),VLOOKUP($L$5,'Material index'!$H$6:$BD$61,VLOOKUP(K23,$A$5:$B$53,2,FALSE),FALSE),"")</f>
        <v>#REF!</v>
      </c>
      <c r="M23" s="15" t="e">
        <f>IF(AND($A23&gt;=#REF!,#REF!&gt;=$A23),$A23,"")</f>
        <v>#REF!</v>
      </c>
      <c r="N23" s="13" t="e">
        <f>IF(AND(M23&gt;=#REF!,#REF!&gt;=M23),VLOOKUP($N$5,'Material index'!$H$6:$BD$61,VLOOKUP(M23,$A$5:$B$53,2,FALSE),FALSE),"")</f>
        <v>#REF!</v>
      </c>
      <c r="O23" s="14"/>
      <c r="P23" s="14"/>
      <c r="Q23" s="15">
        <v>39600</v>
      </c>
      <c r="R23" s="16">
        <v>19</v>
      </c>
      <c r="S23" s="15" t="e">
        <f>IF(AND($A23&gt;=#REF!,#REF!&gt;=$A23),$A23,"")</f>
        <v>#REF!</v>
      </c>
      <c r="T23" s="13" t="e">
        <f>IF(AND(S23&gt;=#REF!,#REF!&gt;=S23),VLOOKUP($D$5,'Material index'!$H$6:$BD$61,VLOOKUP(S23,$A$5:$B$53,2,FALSE),FALSE),"")</f>
        <v>#REF!</v>
      </c>
      <c r="U23" s="15" t="e">
        <f>IF(AND($A23&gt;=#REF!,#REF!&gt;=$A23),$A23,"")</f>
        <v>#REF!</v>
      </c>
      <c r="V23" s="13" t="e">
        <f>IF(AND(U23&gt;=#REF!,#REF!&gt;=U23),VLOOKUP($F$5,'Material index'!$H$6:$BD$61,VLOOKUP(U23,$A$5:$B$53,2,FALSE),FALSE),"")</f>
        <v>#REF!</v>
      </c>
      <c r="W23" s="15" t="e">
        <f>IF(AND($A23&gt;=#REF!,#REF!&gt;=$A23),$A23,"")</f>
        <v>#REF!</v>
      </c>
      <c r="X23" s="13" t="e">
        <f>IF(AND(W23&gt;=#REF!,#REF!&gt;=W23),VLOOKUP($H$5,'Material index'!$H$6:$BD$61,VLOOKUP(W23,$A$5:$B$53,2,FALSE),FALSE),"")</f>
        <v>#REF!</v>
      </c>
      <c r="Y23" s="15" t="e">
        <f>IF(AND($A23&gt;=#REF!,#REF!&gt;=$A23),$A23,"")</f>
        <v>#REF!</v>
      </c>
      <c r="Z23" s="13" t="e">
        <f>IF(AND(Y23&gt;=#REF!,#REF!&gt;=Y23),VLOOKUP($J$5,'Material index'!$H$6:$BD$61,VLOOKUP(Y23,$A$5:$B$53,2,FALSE),FALSE),"")</f>
        <v>#REF!</v>
      </c>
      <c r="AA23" s="15" t="e">
        <f>IF(AND($A23&gt;=#REF!,#REF!&gt;=$A23),$A23,"")</f>
        <v>#REF!</v>
      </c>
      <c r="AB23" s="13" t="e">
        <f>IF(AND(AA23&gt;=#REF!,#REF!&gt;=AA23),VLOOKUP($L$5,'Material index'!$H$6:$BD$61,VLOOKUP(AA23,$A$5:$B$53,2,FALSE),FALSE),"")</f>
        <v>#REF!</v>
      </c>
      <c r="AC23" s="15" t="e">
        <f>IF(AND($A23&gt;=#REF!,#REF!&gt;=$A23),$A23,"")</f>
        <v>#REF!</v>
      </c>
      <c r="AD23" s="13" t="e">
        <f>IF(AND(AC23&gt;=#REF!,#REF!&gt;=AC23),VLOOKUP($N$5,'Material index'!$H$6:$BD$61,VLOOKUP(AC23,$A$5:$B$53,2,FALSE),FALSE),"")</f>
        <v>#REF!</v>
      </c>
      <c r="AM23" s="15"/>
      <c r="AN23" s="15"/>
    </row>
    <row r="24" spans="1:40">
      <c r="A24" s="15">
        <v>39630</v>
      </c>
      <c r="B24" s="16">
        <v>20</v>
      </c>
      <c r="C24" s="15" t="e">
        <f>IF(AND($A24&gt;=#REF!,#REF!&gt;=$A24),$A24,"")</f>
        <v>#REF!</v>
      </c>
      <c r="D24" s="13" t="e">
        <f>IF(AND(C24&gt;=#REF!,#REF!&gt;=C24),VLOOKUP($D$5,'Material index'!$H$6:$BD$61,VLOOKUP(C24,$A$5:$B$53,2,FALSE),FALSE),"")</f>
        <v>#REF!</v>
      </c>
      <c r="E24" s="15" t="e">
        <f>IF(AND($A24&gt;=#REF!,#REF!&gt;=$A24),$A24,"")</f>
        <v>#REF!</v>
      </c>
      <c r="F24" s="13" t="e">
        <f>IF(AND(E24&gt;=#REF!,#REF!&gt;=E24),VLOOKUP($F$5,'Material index'!$H$6:$BD$61,VLOOKUP(E24,$A$5:$B$53,2,FALSE),FALSE),"")</f>
        <v>#REF!</v>
      </c>
      <c r="G24" s="15" t="e">
        <f>IF(AND($A24&gt;=#REF!,#REF!&gt;=$A24),$A24,"")</f>
        <v>#REF!</v>
      </c>
      <c r="H24" s="13" t="e">
        <f>IF(AND(G24&gt;=#REF!,#REF!&gt;=G24),VLOOKUP($H$5,'Material index'!$H$6:$BD$61,VLOOKUP(G24,$A$5:$B$53,2,FALSE),FALSE),"")</f>
        <v>#REF!</v>
      </c>
      <c r="I24" s="15" t="e">
        <f>IF(AND($A24&gt;=#REF!,#REF!&gt;=$A24),$A24,"")</f>
        <v>#REF!</v>
      </c>
      <c r="J24" s="13" t="e">
        <f>IF(AND(I24&gt;=#REF!,#REF!&gt;=I24),VLOOKUP($J$5,'Material index'!$H$6:$BD$61,VLOOKUP(I24,$A$5:$B$53,2,FALSE),FALSE),"")</f>
        <v>#REF!</v>
      </c>
      <c r="K24" s="15" t="e">
        <f>IF(AND($A24&gt;=#REF!,#REF!&gt;=$A24),$A24,"")</f>
        <v>#REF!</v>
      </c>
      <c r="L24" s="13" t="e">
        <f>IF(AND(K24&gt;=#REF!,#REF!&gt;=K24),VLOOKUP($L$5,'Material index'!$H$6:$BD$61,VLOOKUP(K24,$A$5:$B$53,2,FALSE),FALSE),"")</f>
        <v>#REF!</v>
      </c>
      <c r="M24" s="15" t="e">
        <f>IF(AND($A24&gt;=#REF!,#REF!&gt;=$A24),$A24,"")</f>
        <v>#REF!</v>
      </c>
      <c r="N24" s="13" t="e">
        <f>IF(AND(M24&gt;=#REF!,#REF!&gt;=M24),VLOOKUP($N$5,'Material index'!$H$6:$BD$61,VLOOKUP(M24,$A$5:$B$53,2,FALSE),FALSE),"")</f>
        <v>#REF!</v>
      </c>
      <c r="O24" s="14"/>
      <c r="P24" s="14"/>
      <c r="Q24" s="15">
        <v>39630</v>
      </c>
      <c r="R24" s="16">
        <v>20</v>
      </c>
      <c r="S24" s="15" t="e">
        <f>IF(AND($A24&gt;=#REF!,#REF!&gt;=$A24),$A24,"")</f>
        <v>#REF!</v>
      </c>
      <c r="T24" s="13" t="e">
        <f>IF(AND(S24&gt;=#REF!,#REF!&gt;=S24),VLOOKUP($D$5,'Material index'!$H$6:$BD$61,VLOOKUP(S24,$A$5:$B$53,2,FALSE),FALSE),"")</f>
        <v>#REF!</v>
      </c>
      <c r="U24" s="15" t="e">
        <f>IF(AND($A24&gt;=#REF!,#REF!&gt;=$A24),$A24,"")</f>
        <v>#REF!</v>
      </c>
      <c r="V24" s="13" t="e">
        <f>IF(AND(U24&gt;=#REF!,#REF!&gt;=U24),VLOOKUP($F$5,'Material index'!$H$6:$BD$61,VLOOKUP(U24,$A$5:$B$53,2,FALSE),FALSE),"")</f>
        <v>#REF!</v>
      </c>
      <c r="W24" s="15" t="e">
        <f>IF(AND($A24&gt;=#REF!,#REF!&gt;=$A24),$A24,"")</f>
        <v>#REF!</v>
      </c>
      <c r="X24" s="13" t="e">
        <f>IF(AND(W24&gt;=#REF!,#REF!&gt;=W24),VLOOKUP($H$5,'Material index'!$H$6:$BD$61,VLOOKUP(W24,$A$5:$B$53,2,FALSE),FALSE),"")</f>
        <v>#REF!</v>
      </c>
      <c r="Y24" s="15" t="e">
        <f>IF(AND($A24&gt;=#REF!,#REF!&gt;=$A24),$A24,"")</f>
        <v>#REF!</v>
      </c>
      <c r="Z24" s="13" t="e">
        <f>IF(AND(Y24&gt;=#REF!,#REF!&gt;=Y24),VLOOKUP($J$5,'Material index'!$H$6:$BD$61,VLOOKUP(Y24,$A$5:$B$53,2,FALSE),FALSE),"")</f>
        <v>#REF!</v>
      </c>
      <c r="AA24" s="15" t="e">
        <f>IF(AND($A24&gt;=#REF!,#REF!&gt;=$A24),$A24,"")</f>
        <v>#REF!</v>
      </c>
      <c r="AB24" s="13" t="e">
        <f>IF(AND(AA24&gt;=#REF!,#REF!&gt;=AA24),VLOOKUP($L$5,'Material index'!$H$6:$BD$61,VLOOKUP(AA24,$A$5:$B$53,2,FALSE),FALSE),"")</f>
        <v>#REF!</v>
      </c>
      <c r="AC24" s="15" t="e">
        <f>IF(AND($A24&gt;=#REF!,#REF!&gt;=$A24),$A24,"")</f>
        <v>#REF!</v>
      </c>
      <c r="AD24" s="13" t="e">
        <f>IF(AND(AC24&gt;=#REF!,#REF!&gt;=AC24),VLOOKUP($N$5,'Material index'!$H$6:$BD$61,VLOOKUP(AC24,$A$5:$B$53,2,FALSE),FALSE),"")</f>
        <v>#REF!</v>
      </c>
    </row>
    <row r="25" spans="1:40">
      <c r="A25" s="15">
        <v>39661</v>
      </c>
      <c r="B25" s="16">
        <v>21</v>
      </c>
      <c r="C25" s="15" t="e">
        <f>IF(AND($A25&gt;=#REF!,#REF!&gt;=$A25),$A25,"")</f>
        <v>#REF!</v>
      </c>
      <c r="D25" s="13" t="e">
        <f>IF(AND(C25&gt;=#REF!,#REF!&gt;=C25),VLOOKUP($D$5,'Material index'!$H$6:$BD$61,VLOOKUP(C25,$A$5:$B$53,2,FALSE),FALSE),"")</f>
        <v>#REF!</v>
      </c>
      <c r="E25" s="15" t="e">
        <f>IF(AND($A25&gt;=#REF!,#REF!&gt;=$A25),$A25,"")</f>
        <v>#REF!</v>
      </c>
      <c r="F25" s="13" t="e">
        <f>IF(AND(E25&gt;=#REF!,#REF!&gt;=E25),VLOOKUP($F$5,'Material index'!$H$6:$BD$61,VLOOKUP(E25,$A$5:$B$53,2,FALSE),FALSE),"")</f>
        <v>#REF!</v>
      </c>
      <c r="G25" s="15" t="e">
        <f>IF(AND($A25&gt;=#REF!,#REF!&gt;=$A25),$A25,"")</f>
        <v>#REF!</v>
      </c>
      <c r="H25" s="13" t="e">
        <f>IF(AND(G25&gt;=#REF!,#REF!&gt;=G25),VLOOKUP($H$5,'Material index'!$H$6:$BD$61,VLOOKUP(G25,$A$5:$B$53,2,FALSE),FALSE),"")</f>
        <v>#REF!</v>
      </c>
      <c r="I25" s="15" t="e">
        <f>IF(AND($A25&gt;=#REF!,#REF!&gt;=$A25),$A25,"")</f>
        <v>#REF!</v>
      </c>
      <c r="J25" s="13" t="e">
        <f>IF(AND(I25&gt;=#REF!,#REF!&gt;=I25),VLOOKUP($J$5,'Material index'!$H$6:$BD$61,VLOOKUP(I25,$A$5:$B$53,2,FALSE),FALSE),"")</f>
        <v>#REF!</v>
      </c>
      <c r="K25" s="15" t="e">
        <f>IF(AND($A25&gt;=#REF!,#REF!&gt;=$A25),$A25,"")</f>
        <v>#REF!</v>
      </c>
      <c r="L25" s="13" t="e">
        <f>IF(AND(K25&gt;=#REF!,#REF!&gt;=K25),VLOOKUP($L$5,'Material index'!$H$6:$BD$61,VLOOKUP(K25,$A$5:$B$53,2,FALSE),FALSE),"")</f>
        <v>#REF!</v>
      </c>
      <c r="M25" s="15" t="e">
        <f>IF(AND($A25&gt;=#REF!,#REF!&gt;=$A25),$A25,"")</f>
        <v>#REF!</v>
      </c>
      <c r="N25" s="13" t="e">
        <f>IF(AND(M25&gt;=#REF!,#REF!&gt;=M25),VLOOKUP($N$5,'Material index'!$H$6:$BD$61,VLOOKUP(M25,$A$5:$B$53,2,FALSE),FALSE),"")</f>
        <v>#REF!</v>
      </c>
      <c r="O25" s="14"/>
      <c r="P25" s="14"/>
      <c r="Q25" s="15">
        <v>39661</v>
      </c>
      <c r="R25" s="16">
        <v>21</v>
      </c>
      <c r="S25" s="15" t="e">
        <f>IF(AND($A25&gt;=#REF!,#REF!&gt;=$A25),$A25,"")</f>
        <v>#REF!</v>
      </c>
      <c r="T25" s="13" t="e">
        <f>IF(AND(S25&gt;=#REF!,#REF!&gt;=S25),VLOOKUP($D$5,'Material index'!$H$6:$BD$61,VLOOKUP(S25,$A$5:$B$53,2,FALSE),FALSE),"")</f>
        <v>#REF!</v>
      </c>
      <c r="U25" s="15" t="e">
        <f>IF(AND($A25&gt;=#REF!,#REF!&gt;=$A25),$A25,"")</f>
        <v>#REF!</v>
      </c>
      <c r="V25" s="13" t="e">
        <f>IF(AND(U25&gt;=#REF!,#REF!&gt;=U25),VLOOKUP($F$5,'Material index'!$H$6:$BD$61,VLOOKUP(U25,$A$5:$B$53,2,FALSE),FALSE),"")</f>
        <v>#REF!</v>
      </c>
      <c r="W25" s="15" t="e">
        <f>IF(AND($A25&gt;=#REF!,#REF!&gt;=$A25),$A25,"")</f>
        <v>#REF!</v>
      </c>
      <c r="X25" s="13" t="e">
        <f>IF(AND(W25&gt;=#REF!,#REF!&gt;=W25),VLOOKUP($H$5,'Material index'!$H$6:$BD$61,VLOOKUP(W25,$A$5:$B$53,2,FALSE),FALSE),"")</f>
        <v>#REF!</v>
      </c>
      <c r="Y25" s="15" t="e">
        <f>IF(AND($A25&gt;=#REF!,#REF!&gt;=$A25),$A25,"")</f>
        <v>#REF!</v>
      </c>
      <c r="Z25" s="13" t="e">
        <f>IF(AND(Y25&gt;=#REF!,#REF!&gt;=Y25),VLOOKUP($J$5,'Material index'!$H$6:$BD$61,VLOOKUP(Y25,$A$5:$B$53,2,FALSE),FALSE),"")</f>
        <v>#REF!</v>
      </c>
      <c r="AA25" s="15" t="e">
        <f>IF(AND($A25&gt;=#REF!,#REF!&gt;=$A25),$A25,"")</f>
        <v>#REF!</v>
      </c>
      <c r="AB25" s="13" t="e">
        <f>IF(AND(AA25&gt;=#REF!,#REF!&gt;=AA25),VLOOKUP($L$5,'Material index'!$H$6:$BD$61,VLOOKUP(AA25,$A$5:$B$53,2,FALSE),FALSE),"")</f>
        <v>#REF!</v>
      </c>
      <c r="AC25" s="15" t="e">
        <f>IF(AND($A25&gt;=#REF!,#REF!&gt;=$A25),$A25,"")</f>
        <v>#REF!</v>
      </c>
      <c r="AD25" s="13" t="e">
        <f>IF(AND(AC25&gt;=#REF!,#REF!&gt;=AC25),VLOOKUP($N$5,'Material index'!$H$6:$BD$61,VLOOKUP(AC25,$A$5:$B$53,2,FALSE),FALSE),"")</f>
        <v>#REF!</v>
      </c>
    </row>
    <row r="26" spans="1:40">
      <c r="A26" s="15">
        <v>39692</v>
      </c>
      <c r="B26" s="16">
        <v>22</v>
      </c>
      <c r="C26" s="15" t="e">
        <f>IF(AND($A26&gt;=#REF!,#REF!&gt;=$A26),$A26,"")</f>
        <v>#REF!</v>
      </c>
      <c r="D26" s="13" t="e">
        <f>IF(AND(C26&gt;=#REF!,#REF!&gt;=C26),VLOOKUP($D$5,'Material index'!$H$6:$BD$61,VLOOKUP(C26,$A$5:$B$53,2,FALSE),FALSE),"")</f>
        <v>#REF!</v>
      </c>
      <c r="E26" s="15" t="e">
        <f>IF(AND($A26&gt;=#REF!,#REF!&gt;=$A26),$A26,"")</f>
        <v>#REF!</v>
      </c>
      <c r="F26" s="13" t="e">
        <f>IF(AND(E26&gt;=#REF!,#REF!&gt;=E26),VLOOKUP($F$5,'Material index'!$H$6:$BD$61,VLOOKUP(E26,$A$5:$B$53,2,FALSE),FALSE),"")</f>
        <v>#REF!</v>
      </c>
      <c r="G26" s="15" t="e">
        <f>IF(AND($A26&gt;=#REF!,#REF!&gt;=$A26),$A26,"")</f>
        <v>#REF!</v>
      </c>
      <c r="H26" s="13" t="e">
        <f>IF(AND(G26&gt;=#REF!,#REF!&gt;=G26),VLOOKUP($H$5,'Material index'!$H$6:$BD$61,VLOOKUP(G26,$A$5:$B$53,2,FALSE),FALSE),"")</f>
        <v>#REF!</v>
      </c>
      <c r="I26" s="15" t="e">
        <f>IF(AND($A26&gt;=#REF!,#REF!&gt;=$A26),$A26,"")</f>
        <v>#REF!</v>
      </c>
      <c r="J26" s="13" t="e">
        <f>IF(AND(I26&gt;=#REF!,#REF!&gt;=I26),VLOOKUP($J$5,'Material index'!$H$6:$BD$61,VLOOKUP(I26,$A$5:$B$53,2,FALSE),FALSE),"")</f>
        <v>#REF!</v>
      </c>
      <c r="K26" s="15" t="e">
        <f>IF(AND($A26&gt;=#REF!,#REF!&gt;=$A26),$A26,"")</f>
        <v>#REF!</v>
      </c>
      <c r="L26" s="13" t="e">
        <f>IF(AND(K26&gt;=#REF!,#REF!&gt;=K26),VLOOKUP($L$5,'Material index'!$H$6:$BD$61,VLOOKUP(K26,$A$5:$B$53,2,FALSE),FALSE),"")</f>
        <v>#REF!</v>
      </c>
      <c r="M26" s="15" t="e">
        <f>IF(AND($A26&gt;=#REF!,#REF!&gt;=$A26),$A26,"")</f>
        <v>#REF!</v>
      </c>
      <c r="N26" s="13" t="e">
        <f>IF(AND(M26&gt;=#REF!,#REF!&gt;=M26),VLOOKUP($N$5,'Material index'!$H$6:$BD$61,VLOOKUP(M26,$A$5:$B$53,2,FALSE),FALSE),"")</f>
        <v>#REF!</v>
      </c>
      <c r="O26" s="14"/>
      <c r="P26" s="14"/>
      <c r="Q26" s="15">
        <v>39692</v>
      </c>
      <c r="R26" s="16">
        <v>22</v>
      </c>
      <c r="S26" s="15" t="e">
        <f>IF(AND($A26&gt;=#REF!,#REF!&gt;=$A26),$A26,"")</f>
        <v>#REF!</v>
      </c>
      <c r="T26" s="13" t="e">
        <f>IF(AND(S26&gt;=#REF!,#REF!&gt;=S26),VLOOKUP($D$5,'Material index'!$H$6:$BD$61,VLOOKUP(S26,$A$5:$B$53,2,FALSE),FALSE),"")</f>
        <v>#REF!</v>
      </c>
      <c r="U26" s="15" t="e">
        <f>IF(AND($A26&gt;=#REF!,#REF!&gt;=$A26),$A26,"")</f>
        <v>#REF!</v>
      </c>
      <c r="V26" s="13" t="e">
        <f>IF(AND(U26&gt;=#REF!,#REF!&gt;=U26),VLOOKUP($F$5,'Material index'!$H$6:$BD$61,VLOOKUP(U26,$A$5:$B$53,2,FALSE),FALSE),"")</f>
        <v>#REF!</v>
      </c>
      <c r="W26" s="15" t="e">
        <f>IF(AND($A26&gt;=#REF!,#REF!&gt;=$A26),$A26,"")</f>
        <v>#REF!</v>
      </c>
      <c r="X26" s="13" t="e">
        <f>IF(AND(W26&gt;=#REF!,#REF!&gt;=W26),VLOOKUP($H$5,'Material index'!$H$6:$BD$61,VLOOKUP(W26,$A$5:$B$53,2,FALSE),FALSE),"")</f>
        <v>#REF!</v>
      </c>
      <c r="Y26" s="15" t="e">
        <f>IF(AND($A26&gt;=#REF!,#REF!&gt;=$A26),$A26,"")</f>
        <v>#REF!</v>
      </c>
      <c r="Z26" s="13" t="e">
        <f>IF(AND(Y26&gt;=#REF!,#REF!&gt;=Y26),VLOOKUP($J$5,'Material index'!$H$6:$BD$61,VLOOKUP(Y26,$A$5:$B$53,2,FALSE),FALSE),"")</f>
        <v>#REF!</v>
      </c>
      <c r="AA26" s="15" t="e">
        <f>IF(AND($A26&gt;=#REF!,#REF!&gt;=$A26),$A26,"")</f>
        <v>#REF!</v>
      </c>
      <c r="AB26" s="13" t="e">
        <f>IF(AND(AA26&gt;=#REF!,#REF!&gt;=AA26),VLOOKUP($L$5,'Material index'!$H$6:$BD$61,VLOOKUP(AA26,$A$5:$B$53,2,FALSE),FALSE),"")</f>
        <v>#REF!</v>
      </c>
      <c r="AC26" s="15" t="e">
        <f>IF(AND($A26&gt;=#REF!,#REF!&gt;=$A26),$A26,"")</f>
        <v>#REF!</v>
      </c>
      <c r="AD26" s="13" t="e">
        <f>IF(AND(AC26&gt;=#REF!,#REF!&gt;=AC26),VLOOKUP($N$5,'Material index'!$H$6:$BD$61,VLOOKUP(AC26,$A$5:$B$53,2,FALSE),FALSE),"")</f>
        <v>#REF!</v>
      </c>
    </row>
    <row r="27" spans="1:40">
      <c r="A27" s="15">
        <v>39722</v>
      </c>
      <c r="B27" s="16">
        <v>23</v>
      </c>
      <c r="C27" s="15" t="e">
        <f>IF(AND($A27&gt;=#REF!,#REF!&gt;=$A27),$A27,"")</f>
        <v>#REF!</v>
      </c>
      <c r="D27" s="13" t="e">
        <f>IF(AND(C27&gt;=#REF!,#REF!&gt;=C27),VLOOKUP($D$5,'Material index'!$H$6:$BD$61,VLOOKUP(C27,$A$5:$B$53,2,FALSE),FALSE),"")</f>
        <v>#REF!</v>
      </c>
      <c r="E27" s="15" t="e">
        <f>IF(AND($A27&gt;=#REF!,#REF!&gt;=$A27),$A27,"")</f>
        <v>#REF!</v>
      </c>
      <c r="F27" s="13" t="e">
        <f>IF(AND(E27&gt;=#REF!,#REF!&gt;=E27),VLOOKUP($F$5,'Material index'!$H$6:$BD$61,VLOOKUP(E27,$A$5:$B$53,2,FALSE),FALSE),"")</f>
        <v>#REF!</v>
      </c>
      <c r="G27" s="15" t="e">
        <f>IF(AND($A27&gt;=#REF!,#REF!&gt;=$A27),$A27,"")</f>
        <v>#REF!</v>
      </c>
      <c r="H27" s="13" t="e">
        <f>IF(AND(G27&gt;=#REF!,#REF!&gt;=G27),VLOOKUP($H$5,'Material index'!$H$6:$BD$61,VLOOKUP(G27,$A$5:$B$53,2,FALSE),FALSE),"")</f>
        <v>#REF!</v>
      </c>
      <c r="I27" s="15" t="e">
        <f>IF(AND($A27&gt;=#REF!,#REF!&gt;=$A27),$A27,"")</f>
        <v>#REF!</v>
      </c>
      <c r="J27" s="13" t="e">
        <f>IF(AND(I27&gt;=#REF!,#REF!&gt;=I27),VLOOKUP($J$5,'Material index'!$H$6:$BD$61,VLOOKUP(I27,$A$5:$B$53,2,FALSE),FALSE),"")</f>
        <v>#REF!</v>
      </c>
      <c r="K27" s="15" t="e">
        <f>IF(AND($A27&gt;=#REF!,#REF!&gt;=$A27),$A27,"")</f>
        <v>#REF!</v>
      </c>
      <c r="L27" s="13" t="e">
        <f>IF(AND(K27&gt;=#REF!,#REF!&gt;=K27),VLOOKUP($L$5,'Material index'!$H$6:$BD$61,VLOOKUP(K27,$A$5:$B$53,2,FALSE),FALSE),"")</f>
        <v>#REF!</v>
      </c>
      <c r="M27" s="15" t="e">
        <f>IF(AND($A27&gt;=#REF!,#REF!&gt;=$A27),$A27,"")</f>
        <v>#REF!</v>
      </c>
      <c r="N27" s="13" t="e">
        <f>IF(AND(M27&gt;=#REF!,#REF!&gt;=M27),VLOOKUP($N$5,'Material index'!$H$6:$BD$61,VLOOKUP(M27,$A$5:$B$53,2,FALSE),FALSE),"")</f>
        <v>#REF!</v>
      </c>
      <c r="O27" s="14"/>
      <c r="P27" s="14"/>
      <c r="Q27" s="15">
        <v>39722</v>
      </c>
      <c r="R27" s="16">
        <v>23</v>
      </c>
      <c r="S27" s="15" t="e">
        <f>IF(AND($A27&gt;=#REF!,#REF!&gt;=$A27),$A27,"")</f>
        <v>#REF!</v>
      </c>
      <c r="T27" s="13" t="e">
        <f>IF(AND(S27&gt;=#REF!,#REF!&gt;=S27),VLOOKUP($D$5,'Material index'!$H$6:$BD$61,VLOOKUP(S27,$A$5:$B$53,2,FALSE),FALSE),"")</f>
        <v>#REF!</v>
      </c>
      <c r="U27" s="15" t="e">
        <f>IF(AND($A27&gt;=#REF!,#REF!&gt;=$A27),$A27,"")</f>
        <v>#REF!</v>
      </c>
      <c r="V27" s="13" t="e">
        <f>IF(AND(U27&gt;=#REF!,#REF!&gt;=U27),VLOOKUP($F$5,'Material index'!$H$6:$BD$61,VLOOKUP(U27,$A$5:$B$53,2,FALSE),FALSE),"")</f>
        <v>#REF!</v>
      </c>
      <c r="W27" s="15" t="e">
        <f>IF(AND($A27&gt;=#REF!,#REF!&gt;=$A27),$A27,"")</f>
        <v>#REF!</v>
      </c>
      <c r="X27" s="13" t="e">
        <f>IF(AND(W27&gt;=#REF!,#REF!&gt;=W27),VLOOKUP($H$5,'Material index'!$H$6:$BD$61,VLOOKUP(W27,$A$5:$B$53,2,FALSE),FALSE),"")</f>
        <v>#REF!</v>
      </c>
      <c r="Y27" s="15" t="e">
        <f>IF(AND($A27&gt;=#REF!,#REF!&gt;=$A27),$A27,"")</f>
        <v>#REF!</v>
      </c>
      <c r="Z27" s="13" t="e">
        <f>IF(AND(Y27&gt;=#REF!,#REF!&gt;=Y27),VLOOKUP($J$5,'Material index'!$H$6:$BD$61,VLOOKUP(Y27,$A$5:$B$53,2,FALSE),FALSE),"")</f>
        <v>#REF!</v>
      </c>
      <c r="AA27" s="15" t="e">
        <f>IF(AND($A27&gt;=#REF!,#REF!&gt;=$A27),$A27,"")</f>
        <v>#REF!</v>
      </c>
      <c r="AB27" s="13" t="e">
        <f>IF(AND(AA27&gt;=#REF!,#REF!&gt;=AA27),VLOOKUP($L$5,'Material index'!$H$6:$BD$61,VLOOKUP(AA27,$A$5:$B$53,2,FALSE),FALSE),"")</f>
        <v>#REF!</v>
      </c>
      <c r="AC27" s="15" t="e">
        <f>IF(AND($A27&gt;=#REF!,#REF!&gt;=$A27),$A27,"")</f>
        <v>#REF!</v>
      </c>
      <c r="AD27" s="13" t="e">
        <f>IF(AND(AC27&gt;=#REF!,#REF!&gt;=AC27),VLOOKUP($N$5,'Material index'!$H$6:$BD$61,VLOOKUP(AC27,$A$5:$B$53,2,FALSE),FALSE),"")</f>
        <v>#REF!</v>
      </c>
    </row>
    <row r="28" spans="1:40">
      <c r="A28" s="15">
        <v>39753</v>
      </c>
      <c r="B28" s="16">
        <v>24</v>
      </c>
      <c r="C28" s="15" t="e">
        <f>IF(AND($A28&gt;=#REF!,#REF!&gt;=$A28),$A28,"")</f>
        <v>#REF!</v>
      </c>
      <c r="D28" s="13" t="e">
        <f>IF(AND(C28&gt;=#REF!,#REF!&gt;=C28),VLOOKUP($D$5,'Material index'!$H$6:$BD$61,VLOOKUP(C28,$A$5:$B$53,2,FALSE),FALSE),"")</f>
        <v>#REF!</v>
      </c>
      <c r="E28" s="15" t="e">
        <f>IF(AND($A28&gt;=#REF!,#REF!&gt;=$A28),$A28,"")</f>
        <v>#REF!</v>
      </c>
      <c r="F28" s="13" t="e">
        <f>IF(AND(E28&gt;=#REF!,#REF!&gt;=E28),VLOOKUP($F$5,'Material index'!$H$6:$BD$61,VLOOKUP(E28,$A$5:$B$53,2,FALSE),FALSE),"")</f>
        <v>#REF!</v>
      </c>
      <c r="G28" s="15" t="e">
        <f>IF(AND($A28&gt;=#REF!,#REF!&gt;=$A28),$A28,"")</f>
        <v>#REF!</v>
      </c>
      <c r="H28" s="13" t="e">
        <f>IF(AND(G28&gt;=#REF!,#REF!&gt;=G28),VLOOKUP($H$5,'Material index'!$H$6:$BD$61,VLOOKUP(G28,$A$5:$B$53,2,FALSE),FALSE),"")</f>
        <v>#REF!</v>
      </c>
      <c r="I28" s="15" t="e">
        <f>IF(AND($A28&gt;=#REF!,#REF!&gt;=$A28),$A28,"")</f>
        <v>#REF!</v>
      </c>
      <c r="J28" s="13" t="e">
        <f>IF(AND(I28&gt;=#REF!,#REF!&gt;=I28),VLOOKUP($J$5,'Material index'!$H$6:$BD$61,VLOOKUP(I28,$A$5:$B$53,2,FALSE),FALSE),"")</f>
        <v>#REF!</v>
      </c>
      <c r="K28" s="15" t="e">
        <f>IF(AND($A28&gt;=#REF!,#REF!&gt;=$A28),$A28,"")</f>
        <v>#REF!</v>
      </c>
      <c r="L28" s="13" t="e">
        <f>IF(AND(K28&gt;=#REF!,#REF!&gt;=K28),VLOOKUP($L$5,'Material index'!$H$6:$BD$61,VLOOKUP(K28,$A$5:$B$53,2,FALSE),FALSE),"")</f>
        <v>#REF!</v>
      </c>
      <c r="M28" s="15" t="e">
        <f>IF(AND($A28&gt;=#REF!,#REF!&gt;=$A28),$A28,"")</f>
        <v>#REF!</v>
      </c>
      <c r="N28" s="13" t="e">
        <f>IF(AND(M28&gt;=#REF!,#REF!&gt;=M28),VLOOKUP($N$5,'Material index'!$H$6:$BD$61,VLOOKUP(M28,$A$5:$B$53,2,FALSE),FALSE),"")</f>
        <v>#REF!</v>
      </c>
      <c r="O28" s="14"/>
      <c r="P28" s="14"/>
      <c r="Q28" s="15">
        <v>39753</v>
      </c>
      <c r="R28" s="16">
        <v>24</v>
      </c>
      <c r="S28" s="15" t="e">
        <f>IF(AND($A28&gt;=#REF!,#REF!&gt;=$A28),$A28,"")</f>
        <v>#REF!</v>
      </c>
      <c r="T28" s="13" t="e">
        <f>IF(AND(S28&gt;=#REF!,#REF!&gt;=S28),VLOOKUP($D$5,'Material index'!$H$6:$BD$61,VLOOKUP(S28,$A$5:$B$53,2,FALSE),FALSE),"")</f>
        <v>#REF!</v>
      </c>
      <c r="U28" s="15" t="e">
        <f>IF(AND($A28&gt;=#REF!,#REF!&gt;=$A28),$A28,"")</f>
        <v>#REF!</v>
      </c>
      <c r="V28" s="13" t="e">
        <f>IF(AND(U28&gt;=#REF!,#REF!&gt;=U28),VLOOKUP($F$5,'Material index'!$H$6:$BD$61,VLOOKUP(U28,$A$5:$B$53,2,FALSE),FALSE),"")</f>
        <v>#REF!</v>
      </c>
      <c r="W28" s="15" t="e">
        <f>IF(AND($A28&gt;=#REF!,#REF!&gt;=$A28),$A28,"")</f>
        <v>#REF!</v>
      </c>
      <c r="X28" s="13" t="e">
        <f>IF(AND(W28&gt;=#REF!,#REF!&gt;=W28),VLOOKUP($H$5,'Material index'!$H$6:$BD$61,VLOOKUP(W28,$A$5:$B$53,2,FALSE),FALSE),"")</f>
        <v>#REF!</v>
      </c>
      <c r="Y28" s="15" t="e">
        <f>IF(AND($A28&gt;=#REF!,#REF!&gt;=$A28),$A28,"")</f>
        <v>#REF!</v>
      </c>
      <c r="Z28" s="13" t="e">
        <f>IF(AND(Y28&gt;=#REF!,#REF!&gt;=Y28),VLOOKUP($J$5,'Material index'!$H$6:$BD$61,VLOOKUP(Y28,$A$5:$B$53,2,FALSE),FALSE),"")</f>
        <v>#REF!</v>
      </c>
      <c r="AA28" s="15" t="e">
        <f>IF(AND($A28&gt;=#REF!,#REF!&gt;=$A28),$A28,"")</f>
        <v>#REF!</v>
      </c>
      <c r="AB28" s="13" t="e">
        <f>IF(AND(AA28&gt;=#REF!,#REF!&gt;=AA28),VLOOKUP($L$5,'Material index'!$H$6:$BD$61,VLOOKUP(AA28,$A$5:$B$53,2,FALSE),FALSE),"")</f>
        <v>#REF!</v>
      </c>
      <c r="AC28" s="15" t="e">
        <f>IF(AND($A28&gt;=#REF!,#REF!&gt;=$A28),$A28,"")</f>
        <v>#REF!</v>
      </c>
      <c r="AD28" s="13" t="e">
        <f>IF(AND(AC28&gt;=#REF!,#REF!&gt;=AC28),VLOOKUP($N$5,'Material index'!$H$6:$BD$61,VLOOKUP(AC28,$A$5:$B$53,2,FALSE),FALSE),"")</f>
        <v>#REF!</v>
      </c>
    </row>
    <row r="29" spans="1:40">
      <c r="A29" s="15">
        <v>39783</v>
      </c>
      <c r="B29" s="16">
        <v>25</v>
      </c>
      <c r="C29" s="15" t="e">
        <f>IF(AND($A29&gt;=#REF!,#REF!&gt;=$A29),$A29,"")</f>
        <v>#REF!</v>
      </c>
      <c r="D29" s="13" t="e">
        <f>IF(AND(C29&gt;=#REF!,#REF!&gt;=C29),VLOOKUP($D$5,'Material index'!$H$6:$BD$61,VLOOKUP(C29,$A$5:$B$53,2,FALSE),FALSE),"")</f>
        <v>#REF!</v>
      </c>
      <c r="E29" s="15" t="e">
        <f>IF(AND($A29&gt;=#REF!,#REF!&gt;=$A29),$A29,"")</f>
        <v>#REF!</v>
      </c>
      <c r="F29" s="13" t="e">
        <f>IF(AND(E29&gt;=#REF!,#REF!&gt;=E29),VLOOKUP($F$5,'Material index'!$H$6:$BD$61,VLOOKUP(E29,$A$5:$B$53,2,FALSE),FALSE),"")</f>
        <v>#REF!</v>
      </c>
      <c r="G29" s="15" t="e">
        <f>IF(AND($A29&gt;=#REF!,#REF!&gt;=$A29),$A29,"")</f>
        <v>#REF!</v>
      </c>
      <c r="H29" s="13" t="e">
        <f>IF(AND(G29&gt;=#REF!,#REF!&gt;=G29),VLOOKUP($H$5,'Material index'!$H$6:$BD$61,VLOOKUP(G29,$A$5:$B$53,2,FALSE),FALSE),"")</f>
        <v>#REF!</v>
      </c>
      <c r="I29" s="15" t="e">
        <f>IF(AND($A29&gt;=#REF!,#REF!&gt;=$A29),$A29,"")</f>
        <v>#REF!</v>
      </c>
      <c r="J29" s="13" t="e">
        <f>IF(AND(I29&gt;=#REF!,#REF!&gt;=I29),VLOOKUP($J$5,'Material index'!$H$6:$BD$61,VLOOKUP(I29,$A$5:$B$53,2,FALSE),FALSE),"")</f>
        <v>#REF!</v>
      </c>
      <c r="K29" s="15" t="e">
        <f>IF(AND($A29&gt;=#REF!,#REF!&gt;=$A29),$A29,"")</f>
        <v>#REF!</v>
      </c>
      <c r="L29" s="13" t="e">
        <f>IF(AND(K29&gt;=#REF!,#REF!&gt;=K29),VLOOKUP($L$5,'Material index'!$H$6:$BD$61,VLOOKUP(K29,$A$5:$B$53,2,FALSE),FALSE),"")</f>
        <v>#REF!</v>
      </c>
      <c r="M29" s="15" t="e">
        <f>IF(AND($A29&gt;=#REF!,#REF!&gt;=$A29),$A29,"")</f>
        <v>#REF!</v>
      </c>
      <c r="N29" s="13" t="e">
        <f>IF(AND(M29&gt;=#REF!,#REF!&gt;=M29),VLOOKUP($N$5,'Material index'!$H$6:$BD$61,VLOOKUP(M29,$A$5:$B$53,2,FALSE),FALSE),"")</f>
        <v>#REF!</v>
      </c>
      <c r="O29" s="14"/>
      <c r="P29" s="14"/>
      <c r="Q29" s="15">
        <v>39783</v>
      </c>
      <c r="R29" s="16">
        <v>25</v>
      </c>
      <c r="S29" s="15" t="e">
        <f>IF(AND($A29&gt;=#REF!,#REF!&gt;=$A29),$A29,"")</f>
        <v>#REF!</v>
      </c>
      <c r="T29" s="13" t="e">
        <f>IF(AND(S29&gt;=#REF!,#REF!&gt;=S29),VLOOKUP($D$5,'Material index'!$H$6:$BD$61,VLOOKUP(S29,$A$5:$B$53,2,FALSE),FALSE),"")</f>
        <v>#REF!</v>
      </c>
      <c r="U29" s="15" t="e">
        <f>IF(AND($A29&gt;=#REF!,#REF!&gt;=$A29),$A29,"")</f>
        <v>#REF!</v>
      </c>
      <c r="V29" s="13" t="e">
        <f>IF(AND(U29&gt;=#REF!,#REF!&gt;=U29),VLOOKUP($F$5,'Material index'!$H$6:$BD$61,VLOOKUP(U29,$A$5:$B$53,2,FALSE),FALSE),"")</f>
        <v>#REF!</v>
      </c>
      <c r="W29" s="15" t="e">
        <f>IF(AND($A29&gt;=#REF!,#REF!&gt;=$A29),$A29,"")</f>
        <v>#REF!</v>
      </c>
      <c r="X29" s="13" t="e">
        <f>IF(AND(W29&gt;=#REF!,#REF!&gt;=W29),VLOOKUP($H$5,'Material index'!$H$6:$BD$61,VLOOKUP(W29,$A$5:$B$53,2,FALSE),FALSE),"")</f>
        <v>#REF!</v>
      </c>
      <c r="Y29" s="15" t="e">
        <f>IF(AND($A29&gt;=#REF!,#REF!&gt;=$A29),$A29,"")</f>
        <v>#REF!</v>
      </c>
      <c r="Z29" s="13" t="e">
        <f>IF(AND(Y29&gt;=#REF!,#REF!&gt;=Y29),VLOOKUP($J$5,'Material index'!$H$6:$BD$61,VLOOKUP(Y29,$A$5:$B$53,2,FALSE),FALSE),"")</f>
        <v>#REF!</v>
      </c>
      <c r="AA29" s="15" t="e">
        <f>IF(AND($A29&gt;=#REF!,#REF!&gt;=$A29),$A29,"")</f>
        <v>#REF!</v>
      </c>
      <c r="AB29" s="13" t="e">
        <f>IF(AND(AA29&gt;=#REF!,#REF!&gt;=AA29),VLOOKUP($L$5,'Material index'!$H$6:$BD$61,VLOOKUP(AA29,$A$5:$B$53,2,FALSE),FALSE),"")</f>
        <v>#REF!</v>
      </c>
      <c r="AC29" s="15" t="e">
        <f>IF(AND($A29&gt;=#REF!,#REF!&gt;=$A29),$A29,"")</f>
        <v>#REF!</v>
      </c>
      <c r="AD29" s="13" t="e">
        <f>IF(AND(AC29&gt;=#REF!,#REF!&gt;=AC29),VLOOKUP($N$5,'Material index'!$H$6:$BD$61,VLOOKUP(AC29,$A$5:$B$53,2,FALSE),FALSE),"")</f>
        <v>#REF!</v>
      </c>
    </row>
    <row r="30" spans="1:40">
      <c r="A30" s="15">
        <v>39814</v>
      </c>
      <c r="B30" s="16">
        <v>26</v>
      </c>
      <c r="C30" s="15" t="e">
        <f>IF(AND($A30&gt;=#REF!,#REF!&gt;=$A30),$A30,"")</f>
        <v>#REF!</v>
      </c>
      <c r="D30" s="13" t="e">
        <f>IF(AND(C30&gt;=#REF!,#REF!&gt;=C30),VLOOKUP($D$5,'Material index'!$H$6:$BD$61,VLOOKUP(C30,$A$5:$B$53,2,FALSE),FALSE),"")</f>
        <v>#REF!</v>
      </c>
      <c r="E30" s="15" t="e">
        <f>IF(AND($A30&gt;=#REF!,#REF!&gt;=$A30),$A30,"")</f>
        <v>#REF!</v>
      </c>
      <c r="F30" s="13" t="e">
        <f>IF(AND(E30&gt;=#REF!,#REF!&gt;=E30),VLOOKUP($F$5,'Material index'!$H$6:$BD$61,VLOOKUP(E30,$A$5:$B$53,2,FALSE),FALSE),"")</f>
        <v>#REF!</v>
      </c>
      <c r="G30" s="15" t="e">
        <f>IF(AND($A30&gt;=#REF!,#REF!&gt;=$A30),$A30,"")</f>
        <v>#REF!</v>
      </c>
      <c r="H30" s="13" t="e">
        <f>IF(AND(G30&gt;=#REF!,#REF!&gt;=G30),VLOOKUP($H$5,'Material index'!$H$6:$BD$61,VLOOKUP(G30,$A$5:$B$53,2,FALSE),FALSE),"")</f>
        <v>#REF!</v>
      </c>
      <c r="I30" s="15" t="e">
        <f>IF(AND($A30&gt;=#REF!,#REF!&gt;=$A30),$A30,"")</f>
        <v>#REF!</v>
      </c>
      <c r="J30" s="13" t="e">
        <f>IF(AND(I30&gt;=#REF!,#REF!&gt;=I30),VLOOKUP($J$5,'Material index'!$H$6:$BD$61,VLOOKUP(I30,$A$5:$B$53,2,FALSE),FALSE),"")</f>
        <v>#REF!</v>
      </c>
      <c r="K30" s="15" t="e">
        <f>IF(AND($A30&gt;=#REF!,#REF!&gt;=$A30),$A30,"")</f>
        <v>#REF!</v>
      </c>
      <c r="L30" s="13" t="e">
        <f>IF(AND(K30&gt;=#REF!,#REF!&gt;=K30),VLOOKUP($L$5,'Material index'!$H$6:$BD$61,VLOOKUP(K30,$A$5:$B$53,2,FALSE),FALSE),"")</f>
        <v>#REF!</v>
      </c>
      <c r="M30" s="15" t="e">
        <f>IF(AND($A30&gt;=#REF!,#REF!&gt;=$A30),$A30,"")</f>
        <v>#REF!</v>
      </c>
      <c r="N30" s="13" t="e">
        <f>IF(AND(M30&gt;=#REF!,#REF!&gt;=M30),VLOOKUP($N$5,'Material index'!$H$6:$BD$61,VLOOKUP(M30,$A$5:$B$53,2,FALSE),FALSE),"")</f>
        <v>#REF!</v>
      </c>
      <c r="O30" s="14"/>
      <c r="P30" s="14"/>
      <c r="Q30" s="15">
        <v>39814</v>
      </c>
      <c r="R30" s="16">
        <v>26</v>
      </c>
      <c r="S30" s="15" t="e">
        <f>IF(AND($A30&gt;=#REF!,#REF!&gt;=$A30),$A30,"")</f>
        <v>#REF!</v>
      </c>
      <c r="T30" s="13" t="e">
        <f>IF(AND(S30&gt;=#REF!,#REF!&gt;=S30),VLOOKUP($D$5,'Material index'!$H$6:$BD$61,VLOOKUP(S30,$A$5:$B$53,2,FALSE),FALSE),"")</f>
        <v>#REF!</v>
      </c>
      <c r="U30" s="15" t="e">
        <f>IF(AND($A30&gt;=#REF!,#REF!&gt;=$A30),$A30,"")</f>
        <v>#REF!</v>
      </c>
      <c r="V30" s="13" t="e">
        <f>IF(AND(U30&gt;=#REF!,#REF!&gt;=U30),VLOOKUP($F$5,'Material index'!$H$6:$BD$61,VLOOKUP(U30,$A$5:$B$53,2,FALSE),FALSE),"")</f>
        <v>#REF!</v>
      </c>
      <c r="W30" s="15" t="e">
        <f>IF(AND($A30&gt;=#REF!,#REF!&gt;=$A30),$A30,"")</f>
        <v>#REF!</v>
      </c>
      <c r="X30" s="13" t="e">
        <f>IF(AND(W30&gt;=#REF!,#REF!&gt;=W30),VLOOKUP($H$5,'Material index'!$H$6:$BD$61,VLOOKUP(W30,$A$5:$B$53,2,FALSE),FALSE),"")</f>
        <v>#REF!</v>
      </c>
      <c r="Y30" s="15" t="e">
        <f>IF(AND($A30&gt;=#REF!,#REF!&gt;=$A30),$A30,"")</f>
        <v>#REF!</v>
      </c>
      <c r="Z30" s="13" t="e">
        <f>IF(AND(Y30&gt;=#REF!,#REF!&gt;=Y30),VLOOKUP($J$5,'Material index'!$H$6:$BD$61,VLOOKUP(Y30,$A$5:$B$53,2,FALSE),FALSE),"")</f>
        <v>#REF!</v>
      </c>
      <c r="AA30" s="15" t="e">
        <f>IF(AND($A30&gt;=#REF!,#REF!&gt;=$A30),$A30,"")</f>
        <v>#REF!</v>
      </c>
      <c r="AB30" s="13" t="e">
        <f>IF(AND(AA30&gt;=#REF!,#REF!&gt;=AA30),VLOOKUP($L$5,'Material index'!$H$6:$BD$61,VLOOKUP(AA30,$A$5:$B$53,2,FALSE),FALSE),"")</f>
        <v>#REF!</v>
      </c>
      <c r="AC30" s="15" t="e">
        <f>IF(AND($A30&gt;=#REF!,#REF!&gt;=$A30),$A30,"")</f>
        <v>#REF!</v>
      </c>
      <c r="AD30" s="13" t="e">
        <f>IF(AND(AC30&gt;=#REF!,#REF!&gt;=AC30),VLOOKUP($N$5,'Material index'!$H$6:$BD$61,VLOOKUP(AC30,$A$5:$B$53,2,FALSE),FALSE),"")</f>
        <v>#REF!</v>
      </c>
    </row>
    <row r="31" spans="1:40">
      <c r="A31" s="15">
        <v>39845</v>
      </c>
      <c r="B31" s="16">
        <v>27</v>
      </c>
      <c r="C31" s="15" t="e">
        <f>IF(AND($A31&gt;=#REF!,#REF!&gt;=$A31),$A31,"")</f>
        <v>#REF!</v>
      </c>
      <c r="D31" s="13" t="e">
        <f>IF(AND(C31&gt;=#REF!,#REF!&gt;=C31),VLOOKUP($D$5,'Material index'!$H$6:$BD$61,VLOOKUP(C31,$A$5:$B$53,2,FALSE),FALSE),"")</f>
        <v>#REF!</v>
      </c>
      <c r="E31" s="15" t="e">
        <f>IF(AND($A31&gt;=#REF!,#REF!&gt;=$A31),$A31,"")</f>
        <v>#REF!</v>
      </c>
      <c r="F31" s="13" t="e">
        <f>IF(AND(E31&gt;=#REF!,#REF!&gt;=E31),VLOOKUP($F$5,'Material index'!$H$6:$BD$61,VLOOKUP(E31,$A$5:$B$53,2,FALSE),FALSE),"")</f>
        <v>#REF!</v>
      </c>
      <c r="G31" s="15" t="e">
        <f>IF(AND($A31&gt;=#REF!,#REF!&gt;=$A31),$A31,"")</f>
        <v>#REF!</v>
      </c>
      <c r="H31" s="13" t="e">
        <f>IF(AND(G31&gt;=#REF!,#REF!&gt;=G31),VLOOKUP($H$5,'Material index'!$H$6:$BD$61,VLOOKUP(G31,$A$5:$B$53,2,FALSE),FALSE),"")</f>
        <v>#REF!</v>
      </c>
      <c r="I31" s="15" t="e">
        <f>IF(AND($A31&gt;=#REF!,#REF!&gt;=$A31),$A31,"")</f>
        <v>#REF!</v>
      </c>
      <c r="J31" s="13" t="e">
        <f>IF(AND(I31&gt;=#REF!,#REF!&gt;=I31),VLOOKUP($J$5,'Material index'!$H$6:$BD$61,VLOOKUP(I31,$A$5:$B$53,2,FALSE),FALSE),"")</f>
        <v>#REF!</v>
      </c>
      <c r="K31" s="15" t="e">
        <f>IF(AND($A31&gt;=#REF!,#REF!&gt;=$A31),$A31,"")</f>
        <v>#REF!</v>
      </c>
      <c r="L31" s="13" t="e">
        <f>IF(AND(K31&gt;=#REF!,#REF!&gt;=K31),VLOOKUP($L$5,'Material index'!$H$6:$BD$61,VLOOKUP(K31,$A$5:$B$53,2,FALSE),FALSE),"")</f>
        <v>#REF!</v>
      </c>
      <c r="M31" s="15" t="e">
        <f>IF(AND($A31&gt;=#REF!,#REF!&gt;=$A31),$A31,"")</f>
        <v>#REF!</v>
      </c>
      <c r="N31" s="13" t="e">
        <f>IF(AND(M31&gt;=#REF!,#REF!&gt;=M31),VLOOKUP($N$5,'Material index'!$H$6:$BD$61,VLOOKUP(M31,$A$5:$B$53,2,FALSE),FALSE),"")</f>
        <v>#REF!</v>
      </c>
      <c r="O31" s="14"/>
      <c r="P31" s="14"/>
      <c r="Q31" s="15">
        <v>39845</v>
      </c>
      <c r="R31" s="16">
        <v>27</v>
      </c>
      <c r="S31" s="15" t="e">
        <f>IF(AND($A31&gt;=#REF!,#REF!&gt;=$A31),$A31,"")</f>
        <v>#REF!</v>
      </c>
      <c r="T31" s="13" t="e">
        <f>IF(AND(S31&gt;=#REF!,#REF!&gt;=S31),VLOOKUP($D$5,'Material index'!$H$6:$BD$61,VLOOKUP(S31,$A$5:$B$53,2,FALSE),FALSE),"")</f>
        <v>#REF!</v>
      </c>
      <c r="U31" s="15" t="e">
        <f>IF(AND($A31&gt;=#REF!,#REF!&gt;=$A31),$A31,"")</f>
        <v>#REF!</v>
      </c>
      <c r="V31" s="13" t="e">
        <f>IF(AND(U31&gt;=#REF!,#REF!&gt;=U31),VLOOKUP($F$5,'Material index'!$H$6:$BD$61,VLOOKUP(U31,$A$5:$B$53,2,FALSE),FALSE),"")</f>
        <v>#REF!</v>
      </c>
      <c r="W31" s="15" t="e">
        <f>IF(AND($A31&gt;=#REF!,#REF!&gt;=$A31),$A31,"")</f>
        <v>#REF!</v>
      </c>
      <c r="X31" s="13" t="e">
        <f>IF(AND(W31&gt;=#REF!,#REF!&gt;=W31),VLOOKUP($H$5,'Material index'!$H$6:$BD$61,VLOOKUP(W31,$A$5:$B$53,2,FALSE),FALSE),"")</f>
        <v>#REF!</v>
      </c>
      <c r="Y31" s="15" t="e">
        <f>IF(AND($A31&gt;=#REF!,#REF!&gt;=$A31),$A31,"")</f>
        <v>#REF!</v>
      </c>
      <c r="Z31" s="13" t="e">
        <f>IF(AND(Y31&gt;=#REF!,#REF!&gt;=Y31),VLOOKUP($J$5,'Material index'!$H$6:$BD$61,VLOOKUP(Y31,$A$5:$B$53,2,FALSE),FALSE),"")</f>
        <v>#REF!</v>
      </c>
      <c r="AA31" s="15" t="e">
        <f>IF(AND($A31&gt;=#REF!,#REF!&gt;=$A31),$A31,"")</f>
        <v>#REF!</v>
      </c>
      <c r="AB31" s="13" t="e">
        <f>IF(AND(AA31&gt;=#REF!,#REF!&gt;=AA31),VLOOKUP($L$5,'Material index'!$H$6:$BD$61,VLOOKUP(AA31,$A$5:$B$53,2,FALSE),FALSE),"")</f>
        <v>#REF!</v>
      </c>
      <c r="AC31" s="15" t="e">
        <f>IF(AND($A31&gt;=#REF!,#REF!&gt;=$A31),$A31,"")</f>
        <v>#REF!</v>
      </c>
      <c r="AD31" s="13" t="e">
        <f>IF(AND(AC31&gt;=#REF!,#REF!&gt;=AC31),VLOOKUP($N$5,'Material index'!$H$6:$BD$61,VLOOKUP(AC31,$A$5:$B$53,2,FALSE),FALSE),"")</f>
        <v>#REF!</v>
      </c>
    </row>
    <row r="32" spans="1:40">
      <c r="A32" s="15">
        <v>39873</v>
      </c>
      <c r="B32" s="16">
        <v>28</v>
      </c>
      <c r="C32" s="15" t="e">
        <f>IF(AND($A32&gt;=#REF!,#REF!&gt;=$A32),$A32,"")</f>
        <v>#REF!</v>
      </c>
      <c r="D32" s="13" t="e">
        <f>IF(AND(C32&gt;=#REF!,#REF!&gt;=C32),VLOOKUP($D$5,'Material index'!$H$6:$BD$61,VLOOKUP(C32,$A$5:$B$53,2,FALSE),FALSE),"")</f>
        <v>#REF!</v>
      </c>
      <c r="E32" s="15" t="e">
        <f>IF(AND($A32&gt;=#REF!,#REF!&gt;=$A32),$A32,"")</f>
        <v>#REF!</v>
      </c>
      <c r="F32" s="13" t="e">
        <f>IF(AND(E32&gt;=#REF!,#REF!&gt;=E32),VLOOKUP($F$5,'Material index'!$H$6:$BD$61,VLOOKUP(E32,$A$5:$B$53,2,FALSE),FALSE),"")</f>
        <v>#REF!</v>
      </c>
      <c r="G32" s="15" t="e">
        <f>IF(AND($A32&gt;=#REF!,#REF!&gt;=$A32),$A32,"")</f>
        <v>#REF!</v>
      </c>
      <c r="H32" s="13" t="e">
        <f>IF(AND(G32&gt;=#REF!,#REF!&gt;=G32),VLOOKUP($H$5,'Material index'!$H$6:$BD$61,VLOOKUP(G32,$A$5:$B$53,2,FALSE),FALSE),"")</f>
        <v>#REF!</v>
      </c>
      <c r="I32" s="15" t="e">
        <f>IF(AND($A32&gt;=#REF!,#REF!&gt;=$A32),$A32,"")</f>
        <v>#REF!</v>
      </c>
      <c r="J32" s="13" t="e">
        <f>IF(AND(I32&gt;=#REF!,#REF!&gt;=I32),VLOOKUP($J$5,'Material index'!$H$6:$BD$61,VLOOKUP(I32,$A$5:$B$53,2,FALSE),FALSE),"")</f>
        <v>#REF!</v>
      </c>
      <c r="K32" s="15" t="e">
        <f>IF(AND($A32&gt;=#REF!,#REF!&gt;=$A32),$A32,"")</f>
        <v>#REF!</v>
      </c>
      <c r="L32" s="13" t="e">
        <f>IF(AND(K32&gt;=#REF!,#REF!&gt;=K32),VLOOKUP($L$5,'Material index'!$H$6:$BD$61,VLOOKUP(K32,$A$5:$B$53,2,FALSE),FALSE),"")</f>
        <v>#REF!</v>
      </c>
      <c r="M32" s="15" t="e">
        <f>IF(AND($A32&gt;=#REF!,#REF!&gt;=$A32),$A32,"")</f>
        <v>#REF!</v>
      </c>
      <c r="N32" s="13" t="e">
        <f>IF(AND(M32&gt;=#REF!,#REF!&gt;=M32),VLOOKUP($N$5,'Material index'!$H$6:$BD$61,VLOOKUP(M32,$A$5:$B$53,2,FALSE),FALSE),"")</f>
        <v>#REF!</v>
      </c>
      <c r="O32" s="14"/>
      <c r="P32" s="14"/>
      <c r="Q32" s="15">
        <v>39873</v>
      </c>
      <c r="R32" s="16">
        <v>28</v>
      </c>
      <c r="S32" s="15" t="e">
        <f>IF(AND($A32&gt;=#REF!,#REF!&gt;=$A32),$A32,"")</f>
        <v>#REF!</v>
      </c>
      <c r="T32" s="13" t="e">
        <f>IF(AND(S32&gt;=#REF!,#REF!&gt;=S32),VLOOKUP($D$5,'Material index'!$H$6:$BD$61,VLOOKUP(S32,$A$5:$B$53,2,FALSE),FALSE),"")</f>
        <v>#REF!</v>
      </c>
      <c r="U32" s="15" t="e">
        <f>IF(AND($A32&gt;=#REF!,#REF!&gt;=$A32),$A32,"")</f>
        <v>#REF!</v>
      </c>
      <c r="V32" s="13" t="e">
        <f>IF(AND(U32&gt;=#REF!,#REF!&gt;=U32),VLOOKUP($F$5,'Material index'!$H$6:$BD$61,VLOOKUP(U32,$A$5:$B$53,2,FALSE),FALSE),"")</f>
        <v>#REF!</v>
      </c>
      <c r="W32" s="15" t="e">
        <f>IF(AND($A32&gt;=#REF!,#REF!&gt;=$A32),$A32,"")</f>
        <v>#REF!</v>
      </c>
      <c r="X32" s="13" t="e">
        <f>IF(AND(W32&gt;=#REF!,#REF!&gt;=W32),VLOOKUP($H$5,'Material index'!$H$6:$BD$61,VLOOKUP(W32,$A$5:$B$53,2,FALSE),FALSE),"")</f>
        <v>#REF!</v>
      </c>
      <c r="Y32" s="15" t="e">
        <f>IF(AND($A32&gt;=#REF!,#REF!&gt;=$A32),$A32,"")</f>
        <v>#REF!</v>
      </c>
      <c r="Z32" s="13" t="e">
        <f>IF(AND(Y32&gt;=#REF!,#REF!&gt;=Y32),VLOOKUP($J$5,'Material index'!$H$6:$BD$61,VLOOKUP(Y32,$A$5:$B$53,2,FALSE),FALSE),"")</f>
        <v>#REF!</v>
      </c>
      <c r="AA32" s="15" t="e">
        <f>IF(AND($A32&gt;=#REF!,#REF!&gt;=$A32),$A32,"")</f>
        <v>#REF!</v>
      </c>
      <c r="AB32" s="13" t="e">
        <f>IF(AND(AA32&gt;=#REF!,#REF!&gt;=AA32),VLOOKUP($L$5,'Material index'!$H$6:$BD$61,VLOOKUP(AA32,$A$5:$B$53,2,FALSE),FALSE),"")</f>
        <v>#REF!</v>
      </c>
      <c r="AC32" s="15" t="e">
        <f>IF(AND($A32&gt;=#REF!,#REF!&gt;=$A32),$A32,"")</f>
        <v>#REF!</v>
      </c>
      <c r="AD32" s="13" t="e">
        <f>IF(AND(AC32&gt;=#REF!,#REF!&gt;=AC32),VLOOKUP($N$5,'Material index'!$H$6:$BD$61,VLOOKUP(AC32,$A$5:$B$53,2,FALSE),FALSE),"")</f>
        <v>#REF!</v>
      </c>
    </row>
    <row r="33" spans="1:30">
      <c r="A33" s="15">
        <v>39904</v>
      </c>
      <c r="B33" s="16">
        <v>29</v>
      </c>
      <c r="C33" s="15" t="e">
        <f>IF(AND($A33&gt;=#REF!,#REF!&gt;=$A33),$A33,"")</f>
        <v>#REF!</v>
      </c>
      <c r="D33" s="13" t="e">
        <f>IF(AND(C33&gt;=#REF!,#REF!&gt;=C33),VLOOKUP($D$5,'Material index'!$H$6:$BD$61,VLOOKUP(C33,$A$5:$B$53,2,FALSE),FALSE),"")</f>
        <v>#REF!</v>
      </c>
      <c r="E33" s="15" t="e">
        <f>IF(AND($A33&gt;=#REF!,#REF!&gt;=$A33),$A33,"")</f>
        <v>#REF!</v>
      </c>
      <c r="F33" s="13" t="e">
        <f>IF(AND(E33&gt;=#REF!,#REF!&gt;=E33),VLOOKUP($F$5,'Material index'!$H$6:$BD$61,VLOOKUP(E33,$A$5:$B$53,2,FALSE),FALSE),"")</f>
        <v>#REF!</v>
      </c>
      <c r="G33" s="15" t="e">
        <f>IF(AND($A33&gt;=#REF!,#REF!&gt;=$A33),$A33,"")</f>
        <v>#REF!</v>
      </c>
      <c r="H33" s="13" t="e">
        <f>IF(AND(G33&gt;=#REF!,#REF!&gt;=G33),VLOOKUP($H$5,'Material index'!$H$6:$BD$61,VLOOKUP(G33,$A$5:$B$53,2,FALSE),FALSE),"")</f>
        <v>#REF!</v>
      </c>
      <c r="I33" s="15" t="e">
        <f>IF(AND($A33&gt;=#REF!,#REF!&gt;=$A33),$A33,"")</f>
        <v>#REF!</v>
      </c>
      <c r="J33" s="13" t="e">
        <f>IF(AND(I33&gt;=#REF!,#REF!&gt;=I33),VLOOKUP($J$5,'Material index'!$H$6:$BD$61,VLOOKUP(I33,$A$5:$B$53,2,FALSE),FALSE),"")</f>
        <v>#REF!</v>
      </c>
      <c r="K33" s="15" t="e">
        <f>IF(AND($A33&gt;=#REF!,#REF!&gt;=$A33),$A33,"")</f>
        <v>#REF!</v>
      </c>
      <c r="L33" s="13" t="e">
        <f>IF(AND(K33&gt;=#REF!,#REF!&gt;=K33),VLOOKUP($L$5,'Material index'!$H$6:$BD$61,VLOOKUP(K33,$A$5:$B$53,2,FALSE),FALSE),"")</f>
        <v>#REF!</v>
      </c>
      <c r="M33" s="15" t="e">
        <f>IF(AND($A33&gt;=#REF!,#REF!&gt;=$A33),$A33,"")</f>
        <v>#REF!</v>
      </c>
      <c r="N33" s="13" t="e">
        <f>IF(AND(M33&gt;=#REF!,#REF!&gt;=M33),VLOOKUP($N$5,'Material index'!$H$6:$BD$61,VLOOKUP(M33,$A$5:$B$53,2,FALSE),FALSE),"")</f>
        <v>#REF!</v>
      </c>
      <c r="O33" s="14"/>
      <c r="P33" s="14"/>
      <c r="Q33" s="15">
        <v>39904</v>
      </c>
      <c r="R33" s="16">
        <v>29</v>
      </c>
      <c r="S33" s="15" t="e">
        <f>IF(AND($A33&gt;=#REF!,#REF!&gt;=$A33),$A33,"")</f>
        <v>#REF!</v>
      </c>
      <c r="T33" s="13" t="e">
        <f>IF(AND(S33&gt;=#REF!,#REF!&gt;=S33),VLOOKUP($D$5,'Material index'!$H$6:$BD$61,VLOOKUP(S33,$A$5:$B$53,2,FALSE),FALSE),"")</f>
        <v>#REF!</v>
      </c>
      <c r="U33" s="15" t="e">
        <f>IF(AND($A33&gt;=#REF!,#REF!&gt;=$A33),$A33,"")</f>
        <v>#REF!</v>
      </c>
      <c r="V33" s="13" t="e">
        <f>IF(AND(U33&gt;=#REF!,#REF!&gt;=U33),VLOOKUP($F$5,'Material index'!$H$6:$BD$61,VLOOKUP(U33,$A$5:$B$53,2,FALSE),FALSE),"")</f>
        <v>#REF!</v>
      </c>
      <c r="W33" s="15" t="e">
        <f>IF(AND($A33&gt;=#REF!,#REF!&gt;=$A33),$A33,"")</f>
        <v>#REF!</v>
      </c>
      <c r="X33" s="13" t="e">
        <f>IF(AND(W33&gt;=#REF!,#REF!&gt;=W33),VLOOKUP($H$5,'Material index'!$H$6:$BD$61,VLOOKUP(W33,$A$5:$B$53,2,FALSE),FALSE),"")</f>
        <v>#REF!</v>
      </c>
      <c r="Y33" s="15" t="e">
        <f>IF(AND($A33&gt;=#REF!,#REF!&gt;=$A33),$A33,"")</f>
        <v>#REF!</v>
      </c>
      <c r="Z33" s="13" t="e">
        <f>IF(AND(Y33&gt;=#REF!,#REF!&gt;=Y33),VLOOKUP($J$5,'Material index'!$H$6:$BD$61,VLOOKUP(Y33,$A$5:$B$53,2,FALSE),FALSE),"")</f>
        <v>#REF!</v>
      </c>
      <c r="AA33" s="15" t="e">
        <f>IF(AND($A33&gt;=#REF!,#REF!&gt;=$A33),$A33,"")</f>
        <v>#REF!</v>
      </c>
      <c r="AB33" s="13" t="e">
        <f>IF(AND(AA33&gt;=#REF!,#REF!&gt;=AA33),VLOOKUP($L$5,'Material index'!$H$6:$BD$61,VLOOKUP(AA33,$A$5:$B$53,2,FALSE),FALSE),"")</f>
        <v>#REF!</v>
      </c>
      <c r="AC33" s="15" t="e">
        <f>IF(AND($A33&gt;=#REF!,#REF!&gt;=$A33),$A33,"")</f>
        <v>#REF!</v>
      </c>
      <c r="AD33" s="13" t="e">
        <f>IF(AND(AC33&gt;=#REF!,#REF!&gt;=AC33),VLOOKUP($N$5,'Material index'!$H$6:$BD$61,VLOOKUP(AC33,$A$5:$B$53,2,FALSE),FALSE),"")</f>
        <v>#REF!</v>
      </c>
    </row>
    <row r="34" spans="1:30">
      <c r="A34" s="15">
        <v>39934</v>
      </c>
      <c r="B34" s="16">
        <v>30</v>
      </c>
      <c r="C34" s="15" t="e">
        <f>IF(AND($A34&gt;=#REF!,#REF!&gt;=$A34),$A34,"")</f>
        <v>#REF!</v>
      </c>
      <c r="D34" s="13" t="e">
        <f>IF(AND(C34&gt;=#REF!,#REF!&gt;=C34),VLOOKUP($D$5,'Material index'!$H$6:$BD$61,VLOOKUP(C34,$A$5:$B$53,2,FALSE),FALSE),"")</f>
        <v>#REF!</v>
      </c>
      <c r="E34" s="15" t="e">
        <f>IF(AND($A34&gt;=#REF!,#REF!&gt;=$A34),$A34,"")</f>
        <v>#REF!</v>
      </c>
      <c r="F34" s="13" t="e">
        <f>IF(AND(E34&gt;=#REF!,#REF!&gt;=E34),VLOOKUP($F$5,'Material index'!$H$6:$BD$61,VLOOKUP(E34,$A$5:$B$53,2,FALSE),FALSE),"")</f>
        <v>#REF!</v>
      </c>
      <c r="G34" s="15" t="e">
        <f>IF(AND($A34&gt;=#REF!,#REF!&gt;=$A34),$A34,"")</f>
        <v>#REF!</v>
      </c>
      <c r="H34" s="13" t="e">
        <f>IF(AND(G34&gt;=#REF!,#REF!&gt;=G34),VLOOKUP($H$5,'Material index'!$H$6:$BD$61,VLOOKUP(G34,$A$5:$B$53,2,FALSE),FALSE),"")</f>
        <v>#REF!</v>
      </c>
      <c r="I34" s="15" t="e">
        <f>IF(AND($A34&gt;=#REF!,#REF!&gt;=$A34),$A34,"")</f>
        <v>#REF!</v>
      </c>
      <c r="J34" s="13" t="e">
        <f>IF(AND(I34&gt;=#REF!,#REF!&gt;=I34),VLOOKUP($J$5,'Material index'!$H$6:$BD$61,VLOOKUP(I34,$A$5:$B$53,2,FALSE),FALSE),"")</f>
        <v>#REF!</v>
      </c>
      <c r="K34" s="15" t="e">
        <f>IF(AND($A34&gt;=#REF!,#REF!&gt;=$A34),$A34,"")</f>
        <v>#REF!</v>
      </c>
      <c r="L34" s="13" t="e">
        <f>IF(AND(K34&gt;=#REF!,#REF!&gt;=K34),VLOOKUP($L$5,'Material index'!$H$6:$BD$61,VLOOKUP(K34,$A$5:$B$53,2,FALSE),FALSE),"")</f>
        <v>#REF!</v>
      </c>
      <c r="M34" s="15" t="e">
        <f>IF(AND($A34&gt;=#REF!,#REF!&gt;=$A34),$A34,"")</f>
        <v>#REF!</v>
      </c>
      <c r="N34" s="13" t="e">
        <f>IF(AND(M34&gt;=#REF!,#REF!&gt;=M34),VLOOKUP($N$5,'Material index'!$H$6:$BD$61,VLOOKUP(M34,$A$5:$B$53,2,FALSE),FALSE),"")</f>
        <v>#REF!</v>
      </c>
      <c r="O34" s="14"/>
      <c r="P34" s="14"/>
      <c r="Q34" s="15">
        <v>39934</v>
      </c>
      <c r="R34" s="16">
        <v>30</v>
      </c>
      <c r="S34" s="15" t="e">
        <f>IF(AND($A34&gt;=#REF!,#REF!&gt;=$A34),$A34,"")</f>
        <v>#REF!</v>
      </c>
      <c r="T34" s="13" t="e">
        <f>IF(AND(S34&gt;=#REF!,#REF!&gt;=S34),VLOOKUP($D$5,'Material index'!$H$6:$BD$61,VLOOKUP(S34,$A$5:$B$53,2,FALSE),FALSE),"")</f>
        <v>#REF!</v>
      </c>
      <c r="U34" s="15" t="e">
        <f>IF(AND($A34&gt;=#REF!,#REF!&gt;=$A34),$A34,"")</f>
        <v>#REF!</v>
      </c>
      <c r="V34" s="13" t="e">
        <f>IF(AND(U34&gt;=#REF!,#REF!&gt;=U34),VLOOKUP($F$5,'Material index'!$H$6:$BD$61,VLOOKUP(U34,$A$5:$B$53,2,FALSE),FALSE),"")</f>
        <v>#REF!</v>
      </c>
      <c r="W34" s="15" t="e">
        <f>IF(AND($A34&gt;=#REF!,#REF!&gt;=$A34),$A34,"")</f>
        <v>#REF!</v>
      </c>
      <c r="X34" s="13" t="e">
        <f>IF(AND(W34&gt;=#REF!,#REF!&gt;=W34),VLOOKUP($H$5,'Material index'!$H$6:$BD$61,VLOOKUP(W34,$A$5:$B$53,2,FALSE),FALSE),"")</f>
        <v>#REF!</v>
      </c>
      <c r="Y34" s="15" t="e">
        <f>IF(AND($A34&gt;=#REF!,#REF!&gt;=$A34),$A34,"")</f>
        <v>#REF!</v>
      </c>
      <c r="Z34" s="13" t="e">
        <f>IF(AND(Y34&gt;=#REF!,#REF!&gt;=Y34),VLOOKUP($J$5,'Material index'!$H$6:$BD$61,VLOOKUP(Y34,$A$5:$B$53,2,FALSE),FALSE),"")</f>
        <v>#REF!</v>
      </c>
      <c r="AA34" s="15" t="e">
        <f>IF(AND($A34&gt;=#REF!,#REF!&gt;=$A34),$A34,"")</f>
        <v>#REF!</v>
      </c>
      <c r="AB34" s="13" t="e">
        <f>IF(AND(AA34&gt;=#REF!,#REF!&gt;=AA34),VLOOKUP($L$5,'Material index'!$H$6:$BD$61,VLOOKUP(AA34,$A$5:$B$53,2,FALSE),FALSE),"")</f>
        <v>#REF!</v>
      </c>
      <c r="AC34" s="15" t="e">
        <f>IF(AND($A34&gt;=#REF!,#REF!&gt;=$A34),$A34,"")</f>
        <v>#REF!</v>
      </c>
      <c r="AD34" s="13" t="e">
        <f>IF(AND(AC34&gt;=#REF!,#REF!&gt;=AC34),VLOOKUP($N$5,'Material index'!$H$6:$BD$61,VLOOKUP(AC34,$A$5:$B$53,2,FALSE),FALSE),"")</f>
        <v>#REF!</v>
      </c>
    </row>
    <row r="35" spans="1:30">
      <c r="A35" s="15">
        <v>39965</v>
      </c>
      <c r="B35" s="16">
        <v>31</v>
      </c>
      <c r="C35" s="15" t="e">
        <f>IF(AND($A35&gt;=#REF!,#REF!&gt;=$A35),$A35,"")</f>
        <v>#REF!</v>
      </c>
      <c r="D35" s="13" t="e">
        <f>IF(AND(C35&gt;=#REF!,#REF!&gt;=C35),VLOOKUP($D$5,'Material index'!$H$6:$BD$61,VLOOKUP(C35,$A$5:$B$53,2,FALSE),FALSE),"")</f>
        <v>#REF!</v>
      </c>
      <c r="E35" s="15" t="e">
        <f>IF(AND($A35&gt;=#REF!,#REF!&gt;=$A35),$A35,"")</f>
        <v>#REF!</v>
      </c>
      <c r="F35" s="13" t="e">
        <f>IF(AND(E35&gt;=#REF!,#REF!&gt;=E35),VLOOKUP($F$5,'Material index'!$H$6:$BD$61,VLOOKUP(E35,$A$5:$B$53,2,FALSE),FALSE),"")</f>
        <v>#REF!</v>
      </c>
      <c r="G35" s="15" t="e">
        <f>IF(AND($A35&gt;=#REF!,#REF!&gt;=$A35),$A35,"")</f>
        <v>#REF!</v>
      </c>
      <c r="H35" s="13" t="e">
        <f>IF(AND(G35&gt;=#REF!,#REF!&gt;=G35),VLOOKUP($H$5,'Material index'!$H$6:$BD$61,VLOOKUP(G35,$A$5:$B$53,2,FALSE),FALSE),"")</f>
        <v>#REF!</v>
      </c>
      <c r="I35" s="15" t="e">
        <f>IF(AND($A35&gt;=#REF!,#REF!&gt;=$A35),$A35,"")</f>
        <v>#REF!</v>
      </c>
      <c r="J35" s="13" t="e">
        <f>IF(AND(I35&gt;=#REF!,#REF!&gt;=I35),VLOOKUP($J$5,'Material index'!$H$6:$BD$61,VLOOKUP(I35,$A$5:$B$53,2,FALSE),FALSE),"")</f>
        <v>#REF!</v>
      </c>
      <c r="K35" s="15" t="e">
        <f>IF(AND($A35&gt;=#REF!,#REF!&gt;=$A35),$A35,"")</f>
        <v>#REF!</v>
      </c>
      <c r="L35" s="13" t="e">
        <f>IF(AND(K35&gt;=#REF!,#REF!&gt;=K35),VLOOKUP($L$5,'Material index'!$H$6:$BD$61,VLOOKUP(K35,$A$5:$B$53,2,FALSE),FALSE),"")</f>
        <v>#REF!</v>
      </c>
      <c r="M35" s="15" t="e">
        <f>IF(AND($A35&gt;=#REF!,#REF!&gt;=$A35),$A35,"")</f>
        <v>#REF!</v>
      </c>
      <c r="N35" s="13" t="e">
        <f>IF(AND(M35&gt;=#REF!,#REF!&gt;=M35),VLOOKUP($N$5,'Material index'!$H$6:$BD$61,VLOOKUP(M35,$A$5:$B$53,2,FALSE),FALSE),"")</f>
        <v>#REF!</v>
      </c>
      <c r="O35" s="14"/>
      <c r="P35" s="14"/>
      <c r="Q35" s="15">
        <v>39965</v>
      </c>
      <c r="R35" s="16">
        <v>31</v>
      </c>
      <c r="S35" s="15" t="e">
        <f>IF(AND($A35&gt;=#REF!,#REF!&gt;=$A35),$A35,"")</f>
        <v>#REF!</v>
      </c>
      <c r="T35" s="13" t="e">
        <f>IF(AND(S35&gt;=#REF!,#REF!&gt;=S35),VLOOKUP($D$5,'Material index'!$H$6:$BD$61,VLOOKUP(S35,$A$5:$B$53,2,FALSE),FALSE),"")</f>
        <v>#REF!</v>
      </c>
      <c r="U35" s="15" t="e">
        <f>IF(AND($A35&gt;=#REF!,#REF!&gt;=$A35),$A35,"")</f>
        <v>#REF!</v>
      </c>
      <c r="V35" s="13" t="e">
        <f>IF(AND(U35&gt;=#REF!,#REF!&gt;=U35),VLOOKUP($F$5,'Material index'!$H$6:$BD$61,VLOOKUP(U35,$A$5:$B$53,2,FALSE),FALSE),"")</f>
        <v>#REF!</v>
      </c>
      <c r="W35" s="15" t="e">
        <f>IF(AND($A35&gt;=#REF!,#REF!&gt;=$A35),$A35,"")</f>
        <v>#REF!</v>
      </c>
      <c r="X35" s="13" t="e">
        <f>IF(AND(W35&gt;=#REF!,#REF!&gt;=W35),VLOOKUP($H$5,'Material index'!$H$6:$BD$61,VLOOKUP(W35,$A$5:$B$53,2,FALSE),FALSE),"")</f>
        <v>#REF!</v>
      </c>
      <c r="Y35" s="15" t="e">
        <f>IF(AND($A35&gt;=#REF!,#REF!&gt;=$A35),$A35,"")</f>
        <v>#REF!</v>
      </c>
      <c r="Z35" s="13" t="e">
        <f>IF(AND(Y35&gt;=#REF!,#REF!&gt;=Y35),VLOOKUP($J$5,'Material index'!$H$6:$BD$61,VLOOKUP(Y35,$A$5:$B$53,2,FALSE),FALSE),"")</f>
        <v>#REF!</v>
      </c>
      <c r="AA35" s="15" t="e">
        <f>IF(AND($A35&gt;=#REF!,#REF!&gt;=$A35),$A35,"")</f>
        <v>#REF!</v>
      </c>
      <c r="AB35" s="13" t="e">
        <f>IF(AND(AA35&gt;=#REF!,#REF!&gt;=AA35),VLOOKUP($L$5,'Material index'!$H$6:$BD$61,VLOOKUP(AA35,$A$5:$B$53,2,FALSE),FALSE),"")</f>
        <v>#REF!</v>
      </c>
      <c r="AC35" s="15" t="e">
        <f>IF(AND($A35&gt;=#REF!,#REF!&gt;=$A35),$A35,"")</f>
        <v>#REF!</v>
      </c>
      <c r="AD35" s="13" t="e">
        <f>IF(AND(AC35&gt;=#REF!,#REF!&gt;=AC35),VLOOKUP($N$5,'Material index'!$H$6:$BD$61,VLOOKUP(AC35,$A$5:$B$53,2,FALSE),FALSE),"")</f>
        <v>#REF!</v>
      </c>
    </row>
    <row r="36" spans="1:30">
      <c r="A36" s="15">
        <v>39995</v>
      </c>
      <c r="B36" s="16">
        <v>32</v>
      </c>
      <c r="C36" s="15" t="e">
        <f>IF(AND($A36&gt;=#REF!,#REF!&gt;=$A36),$A36,"")</f>
        <v>#REF!</v>
      </c>
      <c r="D36" s="13" t="e">
        <f>IF(AND(C36&gt;=#REF!,#REF!&gt;=C36),VLOOKUP($D$5,'Material index'!$H$6:$BD$61,VLOOKUP(C36,$A$5:$B$53,2,FALSE),FALSE),"")</f>
        <v>#REF!</v>
      </c>
      <c r="E36" s="15" t="e">
        <f>IF(AND($A36&gt;=#REF!,#REF!&gt;=$A36),$A36,"")</f>
        <v>#REF!</v>
      </c>
      <c r="F36" s="13" t="e">
        <f>IF(AND(E36&gt;=#REF!,#REF!&gt;=E36),VLOOKUP($F$5,'Material index'!$H$6:$BD$61,VLOOKUP(E36,$A$5:$B$53,2,FALSE),FALSE),"")</f>
        <v>#REF!</v>
      </c>
      <c r="G36" s="15" t="e">
        <f>IF(AND($A36&gt;=#REF!,#REF!&gt;=$A36),$A36,"")</f>
        <v>#REF!</v>
      </c>
      <c r="H36" s="13" t="e">
        <f>IF(AND(G36&gt;=#REF!,#REF!&gt;=G36),VLOOKUP($H$5,'Material index'!$H$6:$BD$61,VLOOKUP(G36,$A$5:$B$53,2,FALSE),FALSE),"")</f>
        <v>#REF!</v>
      </c>
      <c r="I36" s="15" t="e">
        <f>IF(AND($A36&gt;=#REF!,#REF!&gt;=$A36),$A36,"")</f>
        <v>#REF!</v>
      </c>
      <c r="J36" s="13" t="e">
        <f>IF(AND(I36&gt;=#REF!,#REF!&gt;=I36),VLOOKUP($J$5,'Material index'!$H$6:$BD$61,VLOOKUP(I36,$A$5:$B$53,2,FALSE),FALSE),"")</f>
        <v>#REF!</v>
      </c>
      <c r="K36" s="15" t="e">
        <f>IF(AND($A36&gt;=#REF!,#REF!&gt;=$A36),$A36,"")</f>
        <v>#REF!</v>
      </c>
      <c r="L36" s="13" t="e">
        <f>IF(AND(K36&gt;=#REF!,#REF!&gt;=K36),VLOOKUP($L$5,'Material index'!$H$6:$BD$61,VLOOKUP(K36,$A$5:$B$53,2,FALSE),FALSE),"")</f>
        <v>#REF!</v>
      </c>
      <c r="M36" s="15" t="e">
        <f>IF(AND($A36&gt;=#REF!,#REF!&gt;=$A36),$A36,"")</f>
        <v>#REF!</v>
      </c>
      <c r="N36" s="13" t="e">
        <f>IF(AND(M36&gt;=#REF!,#REF!&gt;=M36),VLOOKUP($N$5,'Material index'!$H$6:$BD$61,VLOOKUP(M36,$A$5:$B$53,2,FALSE),FALSE),"")</f>
        <v>#REF!</v>
      </c>
      <c r="O36" s="14"/>
      <c r="P36" s="14"/>
      <c r="Q36" s="15">
        <v>39995</v>
      </c>
      <c r="R36" s="16">
        <v>32</v>
      </c>
      <c r="S36" s="15" t="e">
        <f>IF(AND($A36&gt;=#REF!,#REF!&gt;=$A36),$A36,"")</f>
        <v>#REF!</v>
      </c>
      <c r="T36" s="13" t="e">
        <f>IF(AND(S36&gt;=#REF!,#REF!&gt;=S36),VLOOKUP($D$5,'Material index'!$H$6:$BD$61,VLOOKUP(S36,$A$5:$B$53,2,FALSE),FALSE),"")</f>
        <v>#REF!</v>
      </c>
      <c r="U36" s="15" t="e">
        <f>IF(AND($A36&gt;=#REF!,#REF!&gt;=$A36),$A36,"")</f>
        <v>#REF!</v>
      </c>
      <c r="V36" s="13" t="e">
        <f>IF(AND(U36&gt;=#REF!,#REF!&gt;=U36),VLOOKUP($F$5,'Material index'!$H$6:$BD$61,VLOOKUP(U36,$A$5:$B$53,2,FALSE),FALSE),"")</f>
        <v>#REF!</v>
      </c>
      <c r="W36" s="15" t="e">
        <f>IF(AND($A36&gt;=#REF!,#REF!&gt;=$A36),$A36,"")</f>
        <v>#REF!</v>
      </c>
      <c r="X36" s="13" t="e">
        <f>IF(AND(W36&gt;=#REF!,#REF!&gt;=W36),VLOOKUP($H$5,'Material index'!$H$6:$BD$61,VLOOKUP(W36,$A$5:$B$53,2,FALSE),FALSE),"")</f>
        <v>#REF!</v>
      </c>
      <c r="Y36" s="15" t="e">
        <f>IF(AND($A36&gt;=#REF!,#REF!&gt;=$A36),$A36,"")</f>
        <v>#REF!</v>
      </c>
      <c r="Z36" s="13" t="e">
        <f>IF(AND(Y36&gt;=#REF!,#REF!&gt;=Y36),VLOOKUP($J$5,'Material index'!$H$6:$BD$61,VLOOKUP(Y36,$A$5:$B$53,2,FALSE),FALSE),"")</f>
        <v>#REF!</v>
      </c>
      <c r="AA36" s="15" t="e">
        <f>IF(AND($A36&gt;=#REF!,#REF!&gt;=$A36),$A36,"")</f>
        <v>#REF!</v>
      </c>
      <c r="AB36" s="13" t="e">
        <f>IF(AND(AA36&gt;=#REF!,#REF!&gt;=AA36),VLOOKUP($L$5,'Material index'!$H$6:$BD$61,VLOOKUP(AA36,$A$5:$B$53,2,FALSE),FALSE),"")</f>
        <v>#REF!</v>
      </c>
      <c r="AC36" s="15" t="e">
        <f>IF(AND($A36&gt;=#REF!,#REF!&gt;=$A36),$A36,"")</f>
        <v>#REF!</v>
      </c>
      <c r="AD36" s="13" t="e">
        <f>IF(AND(AC36&gt;=#REF!,#REF!&gt;=AC36),VLOOKUP($N$5,'Material index'!$H$6:$BD$61,VLOOKUP(AC36,$A$5:$B$53,2,FALSE),FALSE),"")</f>
        <v>#REF!</v>
      </c>
    </row>
    <row r="37" spans="1:30">
      <c r="A37" s="15">
        <v>40026</v>
      </c>
      <c r="B37" s="16">
        <v>33</v>
      </c>
      <c r="C37" s="15" t="e">
        <f>IF(AND($A37&gt;=#REF!,#REF!&gt;=$A37),$A37,"")</f>
        <v>#REF!</v>
      </c>
      <c r="D37" s="13" t="e">
        <f>IF(AND(C37&gt;=#REF!,#REF!&gt;=C37),VLOOKUP($D$5,'Material index'!$H$6:$BD$61,VLOOKUP(C37,$A$5:$B$53,2,FALSE),FALSE),"")</f>
        <v>#REF!</v>
      </c>
      <c r="E37" s="15" t="e">
        <f>IF(AND($A37&gt;=#REF!,#REF!&gt;=$A37),$A37,"")</f>
        <v>#REF!</v>
      </c>
      <c r="F37" s="13" t="e">
        <f>IF(AND(E37&gt;=#REF!,#REF!&gt;=E37),VLOOKUP($F$5,'Material index'!$H$6:$BD$61,VLOOKUP(E37,$A$5:$B$53,2,FALSE),FALSE),"")</f>
        <v>#REF!</v>
      </c>
      <c r="G37" s="15" t="e">
        <f>IF(AND($A37&gt;=#REF!,#REF!&gt;=$A37),$A37,"")</f>
        <v>#REF!</v>
      </c>
      <c r="H37" s="13" t="e">
        <f>IF(AND(G37&gt;=#REF!,#REF!&gt;=G37),VLOOKUP($H$5,'Material index'!$H$6:$BD$61,VLOOKUP(G37,$A$5:$B$53,2,FALSE),FALSE),"")</f>
        <v>#REF!</v>
      </c>
      <c r="I37" s="15" t="e">
        <f>IF(AND($A37&gt;=#REF!,#REF!&gt;=$A37),$A37,"")</f>
        <v>#REF!</v>
      </c>
      <c r="J37" s="13" t="e">
        <f>IF(AND(I37&gt;=#REF!,#REF!&gt;=I37),VLOOKUP($J$5,'Material index'!$H$6:$BD$61,VLOOKUP(I37,$A$5:$B$53,2,FALSE),FALSE),"")</f>
        <v>#REF!</v>
      </c>
      <c r="K37" s="15" t="e">
        <f>IF(AND($A37&gt;=#REF!,#REF!&gt;=$A37),$A37,"")</f>
        <v>#REF!</v>
      </c>
      <c r="L37" s="13" t="e">
        <f>IF(AND(K37&gt;=#REF!,#REF!&gt;=K37),VLOOKUP($L$5,'Material index'!$H$6:$BD$61,VLOOKUP(K37,$A$5:$B$53,2,FALSE),FALSE),"")</f>
        <v>#REF!</v>
      </c>
      <c r="M37" s="15" t="e">
        <f>IF(AND($A37&gt;=#REF!,#REF!&gt;=$A37),$A37,"")</f>
        <v>#REF!</v>
      </c>
      <c r="N37" s="13" t="e">
        <f>IF(AND(M37&gt;=#REF!,#REF!&gt;=M37),VLOOKUP($N$5,'Material index'!$H$6:$BD$61,VLOOKUP(M37,$A$5:$B$53,2,FALSE),FALSE),"")</f>
        <v>#REF!</v>
      </c>
      <c r="O37" s="14"/>
      <c r="P37" s="14"/>
      <c r="Q37" s="15">
        <v>40026</v>
      </c>
      <c r="R37" s="16">
        <v>33</v>
      </c>
      <c r="S37" s="15" t="e">
        <f>IF(AND($A37&gt;=#REF!,#REF!&gt;=$A37),$A37,"")</f>
        <v>#REF!</v>
      </c>
      <c r="T37" s="13" t="e">
        <f>IF(AND(S37&gt;=#REF!,#REF!&gt;=S37),VLOOKUP($D$5,'Material index'!$H$6:$BD$61,VLOOKUP(S37,$A$5:$B$53,2,FALSE),FALSE),"")</f>
        <v>#REF!</v>
      </c>
      <c r="U37" s="15" t="e">
        <f>IF(AND($A37&gt;=#REF!,#REF!&gt;=$A37),$A37,"")</f>
        <v>#REF!</v>
      </c>
      <c r="V37" s="13" t="e">
        <f>IF(AND(U37&gt;=#REF!,#REF!&gt;=U37),VLOOKUP($F$5,'Material index'!$H$6:$BD$61,VLOOKUP(U37,$A$5:$B$53,2,FALSE),FALSE),"")</f>
        <v>#REF!</v>
      </c>
      <c r="W37" s="15" t="e">
        <f>IF(AND($A37&gt;=#REF!,#REF!&gt;=$A37),$A37,"")</f>
        <v>#REF!</v>
      </c>
      <c r="X37" s="13" t="e">
        <f>IF(AND(W37&gt;=#REF!,#REF!&gt;=W37),VLOOKUP($H$5,'Material index'!$H$6:$BD$61,VLOOKUP(W37,$A$5:$B$53,2,FALSE),FALSE),"")</f>
        <v>#REF!</v>
      </c>
      <c r="Y37" s="15" t="e">
        <f>IF(AND($A37&gt;=#REF!,#REF!&gt;=$A37),$A37,"")</f>
        <v>#REF!</v>
      </c>
      <c r="Z37" s="13" t="e">
        <f>IF(AND(Y37&gt;=#REF!,#REF!&gt;=Y37),VLOOKUP($J$5,'Material index'!$H$6:$BD$61,VLOOKUP(Y37,$A$5:$B$53,2,FALSE),FALSE),"")</f>
        <v>#REF!</v>
      </c>
      <c r="AA37" s="15" t="e">
        <f>IF(AND($A37&gt;=#REF!,#REF!&gt;=$A37),$A37,"")</f>
        <v>#REF!</v>
      </c>
      <c r="AB37" s="13" t="e">
        <f>IF(AND(AA37&gt;=#REF!,#REF!&gt;=AA37),VLOOKUP($L$5,'Material index'!$H$6:$BD$61,VLOOKUP(AA37,$A$5:$B$53,2,FALSE),FALSE),"")</f>
        <v>#REF!</v>
      </c>
      <c r="AC37" s="15" t="e">
        <f>IF(AND($A37&gt;=#REF!,#REF!&gt;=$A37),$A37,"")</f>
        <v>#REF!</v>
      </c>
      <c r="AD37" s="13" t="e">
        <f>IF(AND(AC37&gt;=#REF!,#REF!&gt;=AC37),VLOOKUP($N$5,'Material index'!$H$6:$BD$61,VLOOKUP(AC37,$A$5:$B$53,2,FALSE),FALSE),"")</f>
        <v>#REF!</v>
      </c>
    </row>
    <row r="38" spans="1:30">
      <c r="A38" s="15">
        <v>40057</v>
      </c>
      <c r="B38" s="16">
        <v>34</v>
      </c>
      <c r="C38" s="15" t="e">
        <f>IF(AND($A38&gt;=#REF!,#REF!&gt;=$A38),$A38,"")</f>
        <v>#REF!</v>
      </c>
      <c r="D38" s="13" t="e">
        <f>IF(AND(C38&gt;=#REF!,#REF!&gt;=C38),VLOOKUP($D$5,'Material index'!$H$6:$BD$61,VLOOKUP(C38,$A$5:$B$53,2,FALSE),FALSE),"")</f>
        <v>#REF!</v>
      </c>
      <c r="E38" s="15" t="e">
        <f>IF(AND($A38&gt;=#REF!,#REF!&gt;=$A38),$A38,"")</f>
        <v>#REF!</v>
      </c>
      <c r="F38" s="13" t="e">
        <f>IF(AND(E38&gt;=#REF!,#REF!&gt;=E38),VLOOKUP($F$5,'Material index'!$H$6:$BD$61,VLOOKUP(E38,$A$5:$B$53,2,FALSE),FALSE),"")</f>
        <v>#REF!</v>
      </c>
      <c r="G38" s="15" t="e">
        <f>IF(AND($A38&gt;=#REF!,#REF!&gt;=$A38),$A38,"")</f>
        <v>#REF!</v>
      </c>
      <c r="H38" s="13" t="e">
        <f>IF(AND(G38&gt;=#REF!,#REF!&gt;=G38),VLOOKUP($H$5,'Material index'!$H$6:$BD$61,VLOOKUP(G38,$A$5:$B$53,2,FALSE),FALSE),"")</f>
        <v>#REF!</v>
      </c>
      <c r="I38" s="15" t="e">
        <f>IF(AND($A38&gt;=#REF!,#REF!&gt;=$A38),$A38,"")</f>
        <v>#REF!</v>
      </c>
      <c r="J38" s="13" t="e">
        <f>IF(AND(I38&gt;=#REF!,#REF!&gt;=I38),VLOOKUP($J$5,'Material index'!$H$6:$BD$61,VLOOKUP(I38,$A$5:$B$53,2,FALSE),FALSE),"")</f>
        <v>#REF!</v>
      </c>
      <c r="K38" s="15" t="e">
        <f>IF(AND($A38&gt;=#REF!,#REF!&gt;=$A38),$A38,"")</f>
        <v>#REF!</v>
      </c>
      <c r="L38" s="13" t="e">
        <f>IF(AND(K38&gt;=#REF!,#REF!&gt;=K38),VLOOKUP($L$5,'Material index'!$H$6:$BD$61,VLOOKUP(K38,$A$5:$B$53,2,FALSE),FALSE),"")</f>
        <v>#REF!</v>
      </c>
      <c r="M38" s="15" t="e">
        <f>IF(AND($A38&gt;=#REF!,#REF!&gt;=$A38),$A38,"")</f>
        <v>#REF!</v>
      </c>
      <c r="N38" s="13" t="e">
        <f>IF(AND(M38&gt;=#REF!,#REF!&gt;=M38),VLOOKUP($N$5,'Material index'!$H$6:$BD$61,VLOOKUP(M38,$A$5:$B$53,2,FALSE),FALSE),"")</f>
        <v>#REF!</v>
      </c>
      <c r="O38" s="14"/>
      <c r="P38" s="14"/>
      <c r="Q38" s="15">
        <v>40057</v>
      </c>
      <c r="R38" s="16">
        <v>34</v>
      </c>
      <c r="S38" s="15" t="e">
        <f>IF(AND($A38&gt;=#REF!,#REF!&gt;=$A38),$A38,"")</f>
        <v>#REF!</v>
      </c>
      <c r="T38" s="13" t="e">
        <f>IF(AND(S38&gt;=#REF!,#REF!&gt;=S38),VLOOKUP($D$5,'Material index'!$H$6:$BD$61,VLOOKUP(S38,$A$5:$B$53,2,FALSE),FALSE),"")</f>
        <v>#REF!</v>
      </c>
      <c r="U38" s="15" t="e">
        <f>IF(AND($A38&gt;=#REF!,#REF!&gt;=$A38),$A38,"")</f>
        <v>#REF!</v>
      </c>
      <c r="V38" s="13" t="e">
        <f>IF(AND(U38&gt;=#REF!,#REF!&gt;=U38),VLOOKUP($F$5,'Material index'!$H$6:$BD$61,VLOOKUP(U38,$A$5:$B$53,2,FALSE),FALSE),"")</f>
        <v>#REF!</v>
      </c>
      <c r="W38" s="15" t="e">
        <f>IF(AND($A38&gt;=#REF!,#REF!&gt;=$A38),$A38,"")</f>
        <v>#REF!</v>
      </c>
      <c r="X38" s="13" t="e">
        <f>IF(AND(W38&gt;=#REF!,#REF!&gt;=W38),VLOOKUP($H$5,'Material index'!$H$6:$BD$61,VLOOKUP(W38,$A$5:$B$53,2,FALSE),FALSE),"")</f>
        <v>#REF!</v>
      </c>
      <c r="Y38" s="15" t="e">
        <f>IF(AND($A38&gt;=#REF!,#REF!&gt;=$A38),$A38,"")</f>
        <v>#REF!</v>
      </c>
      <c r="Z38" s="13" t="e">
        <f>IF(AND(Y38&gt;=#REF!,#REF!&gt;=Y38),VLOOKUP($J$5,'Material index'!$H$6:$BD$61,VLOOKUP(Y38,$A$5:$B$53,2,FALSE),FALSE),"")</f>
        <v>#REF!</v>
      </c>
      <c r="AA38" s="15" t="e">
        <f>IF(AND($A38&gt;=#REF!,#REF!&gt;=$A38),$A38,"")</f>
        <v>#REF!</v>
      </c>
      <c r="AB38" s="13" t="e">
        <f>IF(AND(AA38&gt;=#REF!,#REF!&gt;=AA38),VLOOKUP($L$5,'Material index'!$H$6:$BD$61,VLOOKUP(AA38,$A$5:$B$53,2,FALSE),FALSE),"")</f>
        <v>#REF!</v>
      </c>
      <c r="AC38" s="15" t="e">
        <f>IF(AND($A38&gt;=#REF!,#REF!&gt;=$A38),$A38,"")</f>
        <v>#REF!</v>
      </c>
      <c r="AD38" s="13" t="e">
        <f>IF(AND(AC38&gt;=#REF!,#REF!&gt;=AC38),VLOOKUP($N$5,'Material index'!$H$6:$BD$61,VLOOKUP(AC38,$A$5:$B$53,2,FALSE),FALSE),"")</f>
        <v>#REF!</v>
      </c>
    </row>
    <row r="39" spans="1:30">
      <c r="A39" s="15">
        <v>40087</v>
      </c>
      <c r="B39" s="16">
        <v>35</v>
      </c>
      <c r="C39" s="15" t="e">
        <f>IF(AND($A39&gt;=#REF!,#REF!&gt;=$A39),$A39,"")</f>
        <v>#REF!</v>
      </c>
      <c r="D39" s="13" t="e">
        <f>IF(AND(C39&gt;=#REF!,#REF!&gt;=C39),VLOOKUP($D$5,'Material index'!$H$6:$BD$61,VLOOKUP(C39,$A$5:$B$53,2,FALSE),FALSE),"")</f>
        <v>#REF!</v>
      </c>
      <c r="E39" s="15" t="e">
        <f>IF(AND($A39&gt;=#REF!,#REF!&gt;=$A39),$A39,"")</f>
        <v>#REF!</v>
      </c>
      <c r="F39" s="13" t="e">
        <f>IF(AND(E39&gt;=#REF!,#REF!&gt;=E39),VLOOKUP($F$5,'Material index'!$H$6:$BD$61,VLOOKUP(E39,$A$5:$B$53,2,FALSE),FALSE),"")</f>
        <v>#REF!</v>
      </c>
      <c r="G39" s="15" t="e">
        <f>IF(AND($A39&gt;=#REF!,#REF!&gt;=$A39),$A39,"")</f>
        <v>#REF!</v>
      </c>
      <c r="H39" s="13" t="e">
        <f>IF(AND(G39&gt;=#REF!,#REF!&gt;=G39),VLOOKUP($H$5,'Material index'!$H$6:$BD$61,VLOOKUP(G39,$A$5:$B$53,2,FALSE),FALSE),"")</f>
        <v>#REF!</v>
      </c>
      <c r="I39" s="15" t="e">
        <f>IF(AND($A39&gt;=#REF!,#REF!&gt;=$A39),$A39,"")</f>
        <v>#REF!</v>
      </c>
      <c r="J39" s="13" t="e">
        <f>IF(AND(I39&gt;=#REF!,#REF!&gt;=I39),VLOOKUP($J$5,'Material index'!$H$6:$BD$61,VLOOKUP(I39,$A$5:$B$53,2,FALSE),FALSE),"")</f>
        <v>#REF!</v>
      </c>
      <c r="K39" s="15" t="e">
        <f>IF(AND($A39&gt;=#REF!,#REF!&gt;=$A39),$A39,"")</f>
        <v>#REF!</v>
      </c>
      <c r="L39" s="13" t="e">
        <f>IF(AND(K39&gt;=#REF!,#REF!&gt;=K39),VLOOKUP($L$5,'Material index'!$H$6:$BD$61,VLOOKUP(K39,$A$5:$B$53,2,FALSE),FALSE),"")</f>
        <v>#REF!</v>
      </c>
      <c r="M39" s="15" t="e">
        <f>IF(AND($A39&gt;=#REF!,#REF!&gt;=$A39),$A39,"")</f>
        <v>#REF!</v>
      </c>
      <c r="N39" s="13" t="e">
        <f>IF(AND(M39&gt;=#REF!,#REF!&gt;=M39),VLOOKUP($N$5,'Material index'!$H$6:$BD$61,VLOOKUP(M39,$A$5:$B$53,2,FALSE),FALSE),"")</f>
        <v>#REF!</v>
      </c>
      <c r="O39" s="14"/>
      <c r="P39" s="14"/>
      <c r="Q39" s="15">
        <v>40087</v>
      </c>
      <c r="R39" s="16">
        <v>35</v>
      </c>
      <c r="S39" s="15" t="e">
        <f>IF(AND($A39&gt;=#REF!,#REF!&gt;=$A39),$A39,"")</f>
        <v>#REF!</v>
      </c>
      <c r="T39" s="13" t="e">
        <f>IF(AND(S39&gt;=#REF!,#REF!&gt;=S39),VLOOKUP($D$5,'Material index'!$H$6:$BD$61,VLOOKUP(S39,$A$5:$B$53,2,FALSE),FALSE),"")</f>
        <v>#REF!</v>
      </c>
      <c r="U39" s="15" t="e">
        <f>IF(AND($A39&gt;=#REF!,#REF!&gt;=$A39),$A39,"")</f>
        <v>#REF!</v>
      </c>
      <c r="V39" s="13" t="e">
        <f>IF(AND(U39&gt;=#REF!,#REF!&gt;=U39),VLOOKUP($F$5,'Material index'!$H$6:$BD$61,VLOOKUP(U39,$A$5:$B$53,2,FALSE),FALSE),"")</f>
        <v>#REF!</v>
      </c>
      <c r="W39" s="15" t="e">
        <f>IF(AND($A39&gt;=#REF!,#REF!&gt;=$A39),$A39,"")</f>
        <v>#REF!</v>
      </c>
      <c r="X39" s="13" t="e">
        <f>IF(AND(W39&gt;=#REF!,#REF!&gt;=W39),VLOOKUP($H$5,'Material index'!$H$6:$BD$61,VLOOKUP(W39,$A$5:$B$53,2,FALSE),FALSE),"")</f>
        <v>#REF!</v>
      </c>
      <c r="Y39" s="15" t="e">
        <f>IF(AND($A39&gt;=#REF!,#REF!&gt;=$A39),$A39,"")</f>
        <v>#REF!</v>
      </c>
      <c r="Z39" s="13" t="e">
        <f>IF(AND(Y39&gt;=#REF!,#REF!&gt;=Y39),VLOOKUP($J$5,'Material index'!$H$6:$BD$61,VLOOKUP(Y39,$A$5:$B$53,2,FALSE),FALSE),"")</f>
        <v>#REF!</v>
      </c>
      <c r="AA39" s="15" t="e">
        <f>IF(AND($A39&gt;=#REF!,#REF!&gt;=$A39),$A39,"")</f>
        <v>#REF!</v>
      </c>
      <c r="AB39" s="13" t="e">
        <f>IF(AND(AA39&gt;=#REF!,#REF!&gt;=AA39),VLOOKUP($L$5,'Material index'!$H$6:$BD$61,VLOOKUP(AA39,$A$5:$B$53,2,FALSE),FALSE),"")</f>
        <v>#REF!</v>
      </c>
      <c r="AC39" s="15" t="e">
        <f>IF(AND($A39&gt;=#REF!,#REF!&gt;=$A39),$A39,"")</f>
        <v>#REF!</v>
      </c>
      <c r="AD39" s="13" t="e">
        <f>IF(AND(AC39&gt;=#REF!,#REF!&gt;=AC39),VLOOKUP($N$5,'Material index'!$H$6:$BD$61,VLOOKUP(AC39,$A$5:$B$53,2,FALSE),FALSE),"")</f>
        <v>#REF!</v>
      </c>
    </row>
    <row r="40" spans="1:30">
      <c r="A40" s="15">
        <v>40118</v>
      </c>
      <c r="B40" s="16">
        <v>36</v>
      </c>
      <c r="C40" s="15" t="e">
        <f>IF(AND($A40&gt;=#REF!,#REF!&gt;=$A40),$A40,"")</f>
        <v>#REF!</v>
      </c>
      <c r="D40" s="13" t="e">
        <f>IF(AND(C40&gt;=#REF!,#REF!&gt;=C40),VLOOKUP($D$5,'Material index'!$H$6:$BD$61,VLOOKUP(C40,$A$5:$B$53,2,FALSE),FALSE),"")</f>
        <v>#REF!</v>
      </c>
      <c r="E40" s="15" t="e">
        <f>IF(AND($A40&gt;=#REF!,#REF!&gt;=$A40),$A40,"")</f>
        <v>#REF!</v>
      </c>
      <c r="F40" s="13" t="e">
        <f>IF(AND(E40&gt;=#REF!,#REF!&gt;=E40),VLOOKUP($F$5,'Material index'!$H$6:$BD$61,VLOOKUP(E40,$A$5:$B$53,2,FALSE),FALSE),"")</f>
        <v>#REF!</v>
      </c>
      <c r="G40" s="15" t="e">
        <f>IF(AND($A40&gt;=#REF!,#REF!&gt;=$A40),$A40,"")</f>
        <v>#REF!</v>
      </c>
      <c r="H40" s="13" t="e">
        <f>IF(AND(G40&gt;=#REF!,#REF!&gt;=G40),VLOOKUP($H$5,'Material index'!$H$6:$BD$61,VLOOKUP(G40,$A$5:$B$53,2,FALSE),FALSE),"")</f>
        <v>#REF!</v>
      </c>
      <c r="I40" s="15" t="e">
        <f>IF(AND($A40&gt;=#REF!,#REF!&gt;=$A40),$A40,"")</f>
        <v>#REF!</v>
      </c>
      <c r="J40" s="13" t="e">
        <f>IF(AND(I40&gt;=#REF!,#REF!&gt;=I40),VLOOKUP($J$5,'Material index'!$H$6:$BD$61,VLOOKUP(I40,$A$5:$B$53,2,FALSE),FALSE),"")</f>
        <v>#REF!</v>
      </c>
      <c r="K40" s="15" t="e">
        <f>IF(AND($A40&gt;=#REF!,#REF!&gt;=$A40),$A40,"")</f>
        <v>#REF!</v>
      </c>
      <c r="L40" s="13" t="e">
        <f>IF(AND(K40&gt;=#REF!,#REF!&gt;=K40),VLOOKUP($L$5,'Material index'!$H$6:$BD$61,VLOOKUP(K40,$A$5:$B$53,2,FALSE),FALSE),"")</f>
        <v>#REF!</v>
      </c>
      <c r="M40" s="15" t="e">
        <f>IF(AND($A40&gt;=#REF!,#REF!&gt;=$A40),$A40,"")</f>
        <v>#REF!</v>
      </c>
      <c r="N40" s="13" t="e">
        <f>IF(AND(M40&gt;=#REF!,#REF!&gt;=M40),VLOOKUP($N$5,'Material index'!$H$6:$BD$61,VLOOKUP(M40,$A$5:$B$53,2,FALSE),FALSE),"")</f>
        <v>#REF!</v>
      </c>
      <c r="O40" s="14"/>
      <c r="P40" s="14"/>
      <c r="Q40" s="15">
        <v>40118</v>
      </c>
      <c r="R40" s="16">
        <v>36</v>
      </c>
      <c r="S40" s="15" t="e">
        <f>IF(AND($A40&gt;=#REF!,#REF!&gt;=$A40),$A40,"")</f>
        <v>#REF!</v>
      </c>
      <c r="T40" s="13" t="e">
        <f>IF(AND(S40&gt;=#REF!,#REF!&gt;=S40),VLOOKUP($D$5,'Material index'!$H$6:$BD$61,VLOOKUP(S40,$A$5:$B$53,2,FALSE),FALSE),"")</f>
        <v>#REF!</v>
      </c>
      <c r="U40" s="15" t="e">
        <f>IF(AND($A40&gt;=#REF!,#REF!&gt;=$A40),$A40,"")</f>
        <v>#REF!</v>
      </c>
      <c r="V40" s="13" t="e">
        <f>IF(AND(U40&gt;=#REF!,#REF!&gt;=U40),VLOOKUP($F$5,'Material index'!$H$6:$BD$61,VLOOKUP(U40,$A$5:$B$53,2,FALSE),FALSE),"")</f>
        <v>#REF!</v>
      </c>
      <c r="W40" s="15" t="e">
        <f>IF(AND($A40&gt;=#REF!,#REF!&gt;=$A40),$A40,"")</f>
        <v>#REF!</v>
      </c>
      <c r="X40" s="13" t="e">
        <f>IF(AND(W40&gt;=#REF!,#REF!&gt;=W40),VLOOKUP($H$5,'Material index'!$H$6:$BD$61,VLOOKUP(W40,$A$5:$B$53,2,FALSE),FALSE),"")</f>
        <v>#REF!</v>
      </c>
      <c r="Y40" s="15" t="e">
        <f>IF(AND($A40&gt;=#REF!,#REF!&gt;=$A40),$A40,"")</f>
        <v>#REF!</v>
      </c>
      <c r="Z40" s="13" t="e">
        <f>IF(AND(Y40&gt;=#REF!,#REF!&gt;=Y40),VLOOKUP($J$5,'Material index'!$H$6:$BD$61,VLOOKUP(Y40,$A$5:$B$53,2,FALSE),FALSE),"")</f>
        <v>#REF!</v>
      </c>
      <c r="AA40" s="15" t="e">
        <f>IF(AND($A40&gt;=#REF!,#REF!&gt;=$A40),$A40,"")</f>
        <v>#REF!</v>
      </c>
      <c r="AB40" s="13" t="e">
        <f>IF(AND(AA40&gt;=#REF!,#REF!&gt;=AA40),VLOOKUP($L$5,'Material index'!$H$6:$BD$61,VLOOKUP(AA40,$A$5:$B$53,2,FALSE),FALSE),"")</f>
        <v>#REF!</v>
      </c>
      <c r="AC40" s="15" t="e">
        <f>IF(AND($A40&gt;=#REF!,#REF!&gt;=$A40),$A40,"")</f>
        <v>#REF!</v>
      </c>
      <c r="AD40" s="13" t="e">
        <f>IF(AND(AC40&gt;=#REF!,#REF!&gt;=AC40),VLOOKUP($N$5,'Material index'!$H$6:$BD$61,VLOOKUP(AC40,$A$5:$B$53,2,FALSE),FALSE),"")</f>
        <v>#REF!</v>
      </c>
    </row>
    <row r="41" spans="1:30">
      <c r="A41" s="15">
        <v>40148</v>
      </c>
      <c r="B41" s="16">
        <v>37</v>
      </c>
      <c r="C41" s="15" t="e">
        <f>IF(AND($A41&gt;=#REF!,#REF!&gt;=$A41),$A41,"")</f>
        <v>#REF!</v>
      </c>
      <c r="D41" s="13" t="e">
        <f>IF(AND(C41&gt;=#REF!,#REF!&gt;=C41),VLOOKUP($D$5,'Material index'!$H$6:$BD$61,VLOOKUP(C41,$A$5:$B$53,2,FALSE),FALSE),"")</f>
        <v>#REF!</v>
      </c>
      <c r="E41" s="15" t="e">
        <f>IF(AND($A41&gt;=#REF!,#REF!&gt;=$A41),$A41,"")</f>
        <v>#REF!</v>
      </c>
      <c r="F41" s="13" t="e">
        <f>IF(AND(E41&gt;=#REF!,#REF!&gt;=E41),VLOOKUP($F$5,'Material index'!$H$6:$BD$61,VLOOKUP(E41,$A$5:$B$53,2,FALSE),FALSE),"")</f>
        <v>#REF!</v>
      </c>
      <c r="G41" s="15" t="e">
        <f>IF(AND($A41&gt;=#REF!,#REF!&gt;=$A41),$A41,"")</f>
        <v>#REF!</v>
      </c>
      <c r="H41" s="13" t="e">
        <f>IF(AND(G41&gt;=#REF!,#REF!&gt;=G41),VLOOKUP($H$5,'Material index'!$H$6:$BD$61,VLOOKUP(G41,$A$5:$B$53,2,FALSE),FALSE),"")</f>
        <v>#REF!</v>
      </c>
      <c r="I41" s="15" t="e">
        <f>IF(AND($A41&gt;=#REF!,#REF!&gt;=$A41),$A41,"")</f>
        <v>#REF!</v>
      </c>
      <c r="J41" s="13" t="e">
        <f>IF(AND(I41&gt;=#REF!,#REF!&gt;=I41),VLOOKUP($J$5,'Material index'!$H$6:$BD$61,VLOOKUP(I41,$A$5:$B$53,2,FALSE),FALSE),"")</f>
        <v>#REF!</v>
      </c>
      <c r="K41" s="15" t="e">
        <f>IF(AND($A41&gt;=#REF!,#REF!&gt;=$A41),$A41,"")</f>
        <v>#REF!</v>
      </c>
      <c r="L41" s="13" t="e">
        <f>IF(AND(K41&gt;=#REF!,#REF!&gt;=K41),VLOOKUP($L$5,'Material index'!$H$6:$BD$61,VLOOKUP(K41,$A$5:$B$53,2,FALSE),FALSE),"")</f>
        <v>#REF!</v>
      </c>
      <c r="M41" s="15" t="e">
        <f>IF(AND($A41&gt;=#REF!,#REF!&gt;=$A41),$A41,"")</f>
        <v>#REF!</v>
      </c>
      <c r="N41" s="13" t="e">
        <f>IF(AND(M41&gt;=#REF!,#REF!&gt;=M41),VLOOKUP($N$5,'Material index'!$H$6:$BD$61,VLOOKUP(M41,$A$5:$B$53,2,FALSE),FALSE),"")</f>
        <v>#REF!</v>
      </c>
      <c r="O41" s="14"/>
      <c r="P41" s="14"/>
      <c r="Q41" s="15">
        <v>40148</v>
      </c>
      <c r="R41" s="16">
        <v>37</v>
      </c>
      <c r="S41" s="15" t="e">
        <f>IF(AND($A41&gt;=#REF!,#REF!&gt;=$A41),$A41,"")</f>
        <v>#REF!</v>
      </c>
      <c r="T41" s="13" t="e">
        <f>IF(AND(S41&gt;=#REF!,#REF!&gt;=S41),VLOOKUP($D$5,'Material index'!$H$6:$BD$61,VLOOKUP(S41,$A$5:$B$53,2,FALSE),FALSE),"")</f>
        <v>#REF!</v>
      </c>
      <c r="U41" s="15" t="e">
        <f>IF(AND($A41&gt;=#REF!,#REF!&gt;=$A41),$A41,"")</f>
        <v>#REF!</v>
      </c>
      <c r="V41" s="13" t="e">
        <f>IF(AND(U41&gt;=#REF!,#REF!&gt;=U41),VLOOKUP($F$5,'Material index'!$H$6:$BD$61,VLOOKUP(U41,$A$5:$B$53,2,FALSE),FALSE),"")</f>
        <v>#REF!</v>
      </c>
      <c r="W41" s="15" t="e">
        <f>IF(AND($A41&gt;=#REF!,#REF!&gt;=$A41),$A41,"")</f>
        <v>#REF!</v>
      </c>
      <c r="X41" s="13" t="e">
        <f>IF(AND(W41&gt;=#REF!,#REF!&gt;=W41),VLOOKUP($H$5,'Material index'!$H$6:$BD$61,VLOOKUP(W41,$A$5:$B$53,2,FALSE),FALSE),"")</f>
        <v>#REF!</v>
      </c>
      <c r="Y41" s="15" t="e">
        <f>IF(AND($A41&gt;=#REF!,#REF!&gt;=$A41),$A41,"")</f>
        <v>#REF!</v>
      </c>
      <c r="Z41" s="13" t="e">
        <f>IF(AND(Y41&gt;=#REF!,#REF!&gt;=Y41),VLOOKUP($J$5,'Material index'!$H$6:$BD$61,VLOOKUP(Y41,$A$5:$B$53,2,FALSE),FALSE),"")</f>
        <v>#REF!</v>
      </c>
      <c r="AA41" s="15" t="e">
        <f>IF(AND($A41&gt;=#REF!,#REF!&gt;=$A41),$A41,"")</f>
        <v>#REF!</v>
      </c>
      <c r="AB41" s="13" t="e">
        <f>IF(AND(AA41&gt;=#REF!,#REF!&gt;=AA41),VLOOKUP($L$5,'Material index'!$H$6:$BD$61,VLOOKUP(AA41,$A$5:$B$53,2,FALSE),FALSE),"")</f>
        <v>#REF!</v>
      </c>
      <c r="AC41" s="15" t="e">
        <f>IF(AND($A41&gt;=#REF!,#REF!&gt;=$A41),$A41,"")</f>
        <v>#REF!</v>
      </c>
      <c r="AD41" s="13" t="e">
        <f>IF(AND(AC41&gt;=#REF!,#REF!&gt;=AC41),VLOOKUP($N$5,'Material index'!$H$6:$BD$61,VLOOKUP(AC41,$A$5:$B$53,2,FALSE),FALSE),"")</f>
        <v>#REF!</v>
      </c>
    </row>
    <row r="42" spans="1:30">
      <c r="A42" s="15">
        <v>40179</v>
      </c>
      <c r="B42" s="16">
        <v>38</v>
      </c>
      <c r="C42" s="15" t="e">
        <f>IF(AND($A42&gt;=#REF!,#REF!&gt;=$A42),$A42,"")</f>
        <v>#REF!</v>
      </c>
      <c r="D42" s="13" t="e">
        <f>IF(AND(C42&gt;=#REF!,#REF!&gt;=C42),VLOOKUP($D$5,'Material index'!$H$6:$BD$61,VLOOKUP(C42,$A$5:$B$53,2,FALSE),FALSE),"")</f>
        <v>#REF!</v>
      </c>
      <c r="E42" s="15" t="e">
        <f>IF(AND($A42&gt;=#REF!,#REF!&gt;=$A42),$A42,"")</f>
        <v>#REF!</v>
      </c>
      <c r="F42" s="13" t="e">
        <f>IF(AND(E42&gt;=#REF!,#REF!&gt;=E42),VLOOKUP($F$5,'Material index'!$H$6:$BD$61,VLOOKUP(E42,$A$5:$B$53,2,FALSE),FALSE),"")</f>
        <v>#REF!</v>
      </c>
      <c r="G42" s="15" t="e">
        <f>IF(AND($A42&gt;=#REF!,#REF!&gt;=$A42),$A42,"")</f>
        <v>#REF!</v>
      </c>
      <c r="H42" s="13" t="e">
        <f>IF(AND(G42&gt;=#REF!,#REF!&gt;=G42),VLOOKUP($H$5,'Material index'!$H$6:$BD$61,VLOOKUP(G42,$A$5:$B$53,2,FALSE),FALSE),"")</f>
        <v>#REF!</v>
      </c>
      <c r="I42" s="15" t="e">
        <f>IF(AND($A42&gt;=#REF!,#REF!&gt;=$A42),$A42,"")</f>
        <v>#REF!</v>
      </c>
      <c r="J42" s="13" t="e">
        <f>IF(AND(I42&gt;=#REF!,#REF!&gt;=I42),VLOOKUP($J$5,'Material index'!$H$6:$BD$61,VLOOKUP(I42,$A$5:$B$53,2,FALSE),FALSE),"")</f>
        <v>#REF!</v>
      </c>
      <c r="K42" s="15" t="e">
        <f>IF(AND($A42&gt;=#REF!,#REF!&gt;=$A42),$A42,"")</f>
        <v>#REF!</v>
      </c>
      <c r="L42" s="13" t="e">
        <f>IF(AND(K42&gt;=#REF!,#REF!&gt;=K42),VLOOKUP($L$5,'Material index'!$H$6:$BD$61,VLOOKUP(K42,$A$5:$B$53,2,FALSE),FALSE),"")</f>
        <v>#REF!</v>
      </c>
      <c r="M42" s="15" t="e">
        <f>IF(AND($A42&gt;=#REF!,#REF!&gt;=$A42),$A42,"")</f>
        <v>#REF!</v>
      </c>
      <c r="N42" s="13" t="e">
        <f>IF(AND(M42&gt;=#REF!,#REF!&gt;=M42),VLOOKUP($N$5,'Material index'!$H$6:$BD$61,VLOOKUP(M42,$A$5:$B$53,2,FALSE),FALSE),"")</f>
        <v>#REF!</v>
      </c>
      <c r="O42" s="14"/>
      <c r="P42" s="14"/>
      <c r="Q42" s="15">
        <v>40179</v>
      </c>
      <c r="R42" s="16">
        <v>38</v>
      </c>
      <c r="S42" s="15" t="e">
        <f>IF(AND($A42&gt;=#REF!,#REF!&gt;=$A42),$A42,"")</f>
        <v>#REF!</v>
      </c>
      <c r="T42" s="13" t="e">
        <f>IF(AND(S42&gt;=#REF!,#REF!&gt;=S42),VLOOKUP($D$5,'Material index'!$H$6:$BD$61,VLOOKUP(S42,$A$5:$B$53,2,FALSE),FALSE),"")</f>
        <v>#REF!</v>
      </c>
      <c r="U42" s="15" t="e">
        <f>IF(AND($A42&gt;=#REF!,#REF!&gt;=$A42),$A42,"")</f>
        <v>#REF!</v>
      </c>
      <c r="V42" s="13" t="e">
        <f>IF(AND(U42&gt;=#REF!,#REF!&gt;=U42),VLOOKUP($F$5,'Material index'!$H$6:$BD$61,VLOOKUP(U42,$A$5:$B$53,2,FALSE),FALSE),"")</f>
        <v>#REF!</v>
      </c>
      <c r="W42" s="15" t="e">
        <f>IF(AND($A42&gt;=#REF!,#REF!&gt;=$A42),$A42,"")</f>
        <v>#REF!</v>
      </c>
      <c r="X42" s="13" t="e">
        <f>IF(AND(W42&gt;=#REF!,#REF!&gt;=W42),VLOOKUP($H$5,'Material index'!$H$6:$BD$61,VLOOKUP(W42,$A$5:$B$53,2,FALSE),FALSE),"")</f>
        <v>#REF!</v>
      </c>
      <c r="Y42" s="15" t="e">
        <f>IF(AND($A42&gt;=#REF!,#REF!&gt;=$A42),$A42,"")</f>
        <v>#REF!</v>
      </c>
      <c r="Z42" s="13" t="e">
        <f>IF(AND(Y42&gt;=#REF!,#REF!&gt;=Y42),VLOOKUP($J$5,'Material index'!$H$6:$BD$61,VLOOKUP(Y42,$A$5:$B$53,2,FALSE),FALSE),"")</f>
        <v>#REF!</v>
      </c>
      <c r="AA42" s="15" t="e">
        <f>IF(AND($A42&gt;=#REF!,#REF!&gt;=$A42),$A42,"")</f>
        <v>#REF!</v>
      </c>
      <c r="AB42" s="13" t="e">
        <f>IF(AND(AA42&gt;=#REF!,#REF!&gt;=AA42),VLOOKUP($L$5,'Material index'!$H$6:$BD$61,VLOOKUP(AA42,$A$5:$B$53,2,FALSE),FALSE),"")</f>
        <v>#REF!</v>
      </c>
      <c r="AC42" s="15" t="e">
        <f>IF(AND($A42&gt;=#REF!,#REF!&gt;=$A42),$A42,"")</f>
        <v>#REF!</v>
      </c>
      <c r="AD42" s="13" t="e">
        <f>IF(AND(AC42&gt;=#REF!,#REF!&gt;=AC42),VLOOKUP($N$5,'Material index'!$H$6:$BD$61,VLOOKUP(AC42,$A$5:$B$53,2,FALSE),FALSE),"")</f>
        <v>#REF!</v>
      </c>
    </row>
    <row r="43" spans="1:30">
      <c r="A43" s="15">
        <v>40210</v>
      </c>
      <c r="B43" s="16">
        <v>39</v>
      </c>
      <c r="C43" s="15"/>
      <c r="D43" s="13"/>
      <c r="E43" s="15" t="e">
        <f>IF(AND($A43&gt;=#REF!,#REF!&gt;=$A43),$A43,"")</f>
        <v>#REF!</v>
      </c>
      <c r="F43" s="13" t="e">
        <f>IF(AND(E43&gt;=#REF!,#REF!&gt;=E43),VLOOKUP($F$5,'Material index'!$H$6:$BD$61,VLOOKUP(E43,$A$5:$B$53,2,FALSE),FALSE),"")</f>
        <v>#REF!</v>
      </c>
      <c r="G43" s="15" t="e">
        <f>IF(AND($A43&gt;=#REF!,#REF!&gt;=$A43),$A43,"")</f>
        <v>#REF!</v>
      </c>
      <c r="H43" s="13" t="e">
        <f>IF(AND(G43&gt;=#REF!,#REF!&gt;=G43),VLOOKUP($H$5,'Material index'!$H$6:$BD$61,VLOOKUP(G43,$A$5:$B$53,2,FALSE),FALSE),"")</f>
        <v>#REF!</v>
      </c>
      <c r="I43" s="15" t="e">
        <f>IF(AND($A43&gt;=#REF!,#REF!&gt;=$A43),$A43,"")</f>
        <v>#REF!</v>
      </c>
      <c r="J43" s="13" t="e">
        <f>IF(AND(I43&gt;=#REF!,#REF!&gt;=I43),VLOOKUP($J$5,'Material index'!$H$6:$BD$61,VLOOKUP(I43,$A$5:$B$53,2,FALSE),FALSE),"")</f>
        <v>#REF!</v>
      </c>
      <c r="K43" s="15" t="e">
        <f>IF(AND($A43&gt;=#REF!,#REF!&gt;=$A43),$A43,"")</f>
        <v>#REF!</v>
      </c>
      <c r="L43" s="13" t="e">
        <f>IF(AND(K43&gt;=#REF!,#REF!&gt;=K43),VLOOKUP($L$5,'Material index'!$H$6:$BD$61,VLOOKUP(K43,$A$5:$B$53,2,FALSE),FALSE),"")</f>
        <v>#REF!</v>
      </c>
      <c r="M43" s="15" t="e">
        <f>IF(AND($A43&gt;=#REF!,#REF!&gt;=$A43),$A43,"")</f>
        <v>#REF!</v>
      </c>
      <c r="N43" s="13" t="e">
        <f>IF(AND(M43&gt;=#REF!,#REF!&gt;=M43),VLOOKUP($N$5,'Material index'!$H$6:$BD$61,VLOOKUP(M43,$A$5:$B$53,2,FALSE),FALSE),"")</f>
        <v>#REF!</v>
      </c>
      <c r="O43" s="14"/>
      <c r="P43" s="14"/>
      <c r="Q43" s="15">
        <v>40210</v>
      </c>
      <c r="R43" s="16">
        <v>39</v>
      </c>
      <c r="S43" s="15" t="e">
        <f>IF(AND($A43&gt;=#REF!,#REF!&gt;=$A43),$A43,"")</f>
        <v>#REF!</v>
      </c>
      <c r="T43" s="13" t="e">
        <f>IF(AND(S43&gt;=#REF!,#REF!&gt;=S43),VLOOKUP($D$5,'Material index'!$H$6:$BD$61,VLOOKUP(S43,$A$5:$B$53,2,FALSE),FALSE),"")</f>
        <v>#REF!</v>
      </c>
      <c r="U43" s="15" t="e">
        <f>IF(AND($A43&gt;=#REF!,#REF!&gt;=$A43),$A43,"")</f>
        <v>#REF!</v>
      </c>
      <c r="V43" s="13" t="e">
        <f>IF(AND(U43&gt;=#REF!,#REF!&gt;=U43),VLOOKUP($F$5,'Material index'!$H$6:$BD$61,VLOOKUP(U43,$A$5:$B$53,2,FALSE),FALSE),"")</f>
        <v>#REF!</v>
      </c>
      <c r="W43" s="15" t="e">
        <f>IF(AND($A43&gt;=#REF!,#REF!&gt;=$A43),$A43,"")</f>
        <v>#REF!</v>
      </c>
      <c r="X43" s="13" t="e">
        <f>IF(AND(W43&gt;=#REF!,#REF!&gt;=W43),VLOOKUP($H$5,'Material index'!$H$6:$BD$61,VLOOKUP(W43,$A$5:$B$53,2,FALSE),FALSE),"")</f>
        <v>#REF!</v>
      </c>
      <c r="Y43" s="15" t="e">
        <f>IF(AND($A43&gt;=#REF!,#REF!&gt;=$A43),$A43,"")</f>
        <v>#REF!</v>
      </c>
      <c r="Z43" s="13" t="e">
        <f>IF(AND(Y43&gt;=#REF!,#REF!&gt;=Y43),VLOOKUP($J$5,'Material index'!$H$6:$BD$61,VLOOKUP(Y43,$A$5:$B$53,2,FALSE),FALSE),"")</f>
        <v>#REF!</v>
      </c>
      <c r="AA43" s="15" t="e">
        <f>IF(AND($A43&gt;=#REF!,#REF!&gt;=$A43),$A43,"")</f>
        <v>#REF!</v>
      </c>
      <c r="AB43" s="13" t="e">
        <f>IF(AND(AA43&gt;=#REF!,#REF!&gt;=AA43),VLOOKUP($L$5,'Material index'!$H$6:$BD$61,VLOOKUP(AA43,$A$5:$B$53,2,FALSE),FALSE),"")</f>
        <v>#REF!</v>
      </c>
      <c r="AC43" s="15" t="e">
        <f>IF(AND($A43&gt;=#REF!,#REF!&gt;=$A43),$A43,"")</f>
        <v>#REF!</v>
      </c>
      <c r="AD43" s="13" t="e">
        <f>IF(AND(AC43&gt;=#REF!,#REF!&gt;=AC43),VLOOKUP($N$5,'Material index'!$H$6:$BD$61,VLOOKUP(AC43,$A$5:$B$53,2,FALSE),FALSE),"")</f>
        <v>#REF!</v>
      </c>
    </row>
    <row r="44" spans="1:30">
      <c r="A44" s="15">
        <v>40238</v>
      </c>
      <c r="B44" s="16">
        <v>40</v>
      </c>
      <c r="C44" s="15"/>
      <c r="D44" s="13"/>
      <c r="E44" s="15" t="e">
        <f>IF(AND($A44&gt;=#REF!,#REF!&gt;=$A44),$A44,"")</f>
        <v>#REF!</v>
      </c>
      <c r="F44" s="13" t="e">
        <f>IF(AND(E44&gt;=#REF!,#REF!&gt;=E44),VLOOKUP($F$5,'Material index'!$H$6:$BD$61,VLOOKUP(E44,$A$5:$B$53,2,FALSE),FALSE),"")</f>
        <v>#REF!</v>
      </c>
      <c r="G44" s="15" t="e">
        <f>IF(AND($A44&gt;=#REF!,#REF!&gt;=$A44),$A44,"")</f>
        <v>#REF!</v>
      </c>
      <c r="H44" s="13" t="e">
        <f>IF(AND(G44&gt;=#REF!,#REF!&gt;=G44),VLOOKUP($H$5,'Material index'!$H$6:$BD$61,VLOOKUP(G44,$A$5:$B$53,2,FALSE),FALSE),"")</f>
        <v>#REF!</v>
      </c>
      <c r="I44" s="15" t="e">
        <f>IF(AND($A44&gt;=#REF!,#REF!&gt;=$A44),$A44,"")</f>
        <v>#REF!</v>
      </c>
      <c r="J44" s="13" t="e">
        <f>IF(AND(I44&gt;=#REF!,#REF!&gt;=I44),VLOOKUP($J$5,'Material index'!$H$6:$BD$61,VLOOKUP(I44,$A$5:$B$53,2,FALSE),FALSE),"")</f>
        <v>#REF!</v>
      </c>
      <c r="K44" s="15" t="e">
        <f>IF(AND($A44&gt;=#REF!,#REF!&gt;=$A44),$A44,"")</f>
        <v>#REF!</v>
      </c>
      <c r="L44" s="13" t="e">
        <f>IF(AND(K44&gt;=#REF!,#REF!&gt;=K44),VLOOKUP($L$5,'Material index'!$H$6:$BD$61,VLOOKUP(K44,$A$5:$B$53,2,FALSE),FALSE),"")</f>
        <v>#REF!</v>
      </c>
      <c r="M44" s="15" t="e">
        <f>IF(AND($A44&gt;=#REF!,#REF!&gt;=$A44),$A44,"")</f>
        <v>#REF!</v>
      </c>
      <c r="N44" s="13" t="e">
        <f>IF(AND(M44&gt;=#REF!,#REF!&gt;=M44),VLOOKUP($N$5,'Material index'!$H$6:$BD$61,VLOOKUP(M44,$A$5:$B$53,2,FALSE),FALSE),"")</f>
        <v>#REF!</v>
      </c>
      <c r="O44" s="14"/>
      <c r="P44" s="14"/>
      <c r="Q44" s="15">
        <v>40238</v>
      </c>
      <c r="R44" s="16">
        <v>40</v>
      </c>
      <c r="S44" s="15" t="e">
        <f>IF(AND($A44&gt;=#REF!,#REF!&gt;=$A44),$A44,"")</f>
        <v>#REF!</v>
      </c>
      <c r="T44" s="13" t="e">
        <f>IF(AND(S44&gt;=#REF!,#REF!&gt;=S44),VLOOKUP($D$5,'Material index'!$H$6:$BD$61,VLOOKUP(S44,$A$5:$B$53,2,FALSE),FALSE),"")</f>
        <v>#REF!</v>
      </c>
      <c r="U44" s="15" t="e">
        <f>IF(AND($A44&gt;=#REF!,#REF!&gt;=$A44),$A44,"")</f>
        <v>#REF!</v>
      </c>
      <c r="V44" s="13" t="e">
        <f>IF(AND(U44&gt;=#REF!,#REF!&gt;=U44),VLOOKUP($F$5,'Material index'!$H$6:$BD$61,VLOOKUP(U44,$A$5:$B$53,2,FALSE),FALSE),"")</f>
        <v>#REF!</v>
      </c>
      <c r="W44" s="15" t="e">
        <f>IF(AND($A44&gt;=#REF!,#REF!&gt;=$A44),$A44,"")</f>
        <v>#REF!</v>
      </c>
      <c r="X44" s="13" t="e">
        <f>IF(AND(W44&gt;=#REF!,#REF!&gt;=W44),VLOOKUP($H$5,'Material index'!$H$6:$BD$61,VLOOKUP(W44,$A$5:$B$53,2,FALSE),FALSE),"")</f>
        <v>#REF!</v>
      </c>
      <c r="Y44" s="15" t="e">
        <f>IF(AND($A44&gt;=#REF!,#REF!&gt;=$A44),$A44,"")</f>
        <v>#REF!</v>
      </c>
      <c r="Z44" s="13" t="e">
        <f>IF(AND(Y44&gt;=#REF!,#REF!&gt;=Y44),VLOOKUP($J$5,'Material index'!$H$6:$BD$61,VLOOKUP(Y44,$A$5:$B$53,2,FALSE),FALSE),"")</f>
        <v>#REF!</v>
      </c>
      <c r="AA44" s="15" t="e">
        <f>IF(AND($A44&gt;=#REF!,#REF!&gt;=$A44),$A44,"")</f>
        <v>#REF!</v>
      </c>
      <c r="AB44" s="13" t="e">
        <f>IF(AND(AA44&gt;=#REF!,#REF!&gt;=AA44),VLOOKUP($L$5,'Material index'!$H$6:$BD$61,VLOOKUP(AA44,$A$5:$B$53,2,FALSE),FALSE),"")</f>
        <v>#REF!</v>
      </c>
      <c r="AC44" s="15" t="e">
        <f>IF(AND($A44&gt;=#REF!,#REF!&gt;=$A44),$A44,"")</f>
        <v>#REF!</v>
      </c>
      <c r="AD44" s="13" t="e">
        <f>IF(AND(AC44&gt;=#REF!,#REF!&gt;=AC44),VLOOKUP($N$5,'Material index'!$H$6:$BD$61,VLOOKUP(AC44,$A$5:$B$53,2,FALSE),FALSE),"")</f>
        <v>#REF!</v>
      </c>
    </row>
    <row r="45" spans="1:30">
      <c r="A45" s="15">
        <v>40269</v>
      </c>
      <c r="B45" s="16">
        <v>41</v>
      </c>
      <c r="C45" s="15"/>
      <c r="D45" s="13"/>
      <c r="E45" s="15" t="e">
        <f>IF(AND($A45&gt;=#REF!,#REF!&gt;=$A45),$A45,"")</f>
        <v>#REF!</v>
      </c>
      <c r="F45" s="13" t="e">
        <f>IF(AND(E45&gt;=#REF!,#REF!&gt;=E45),VLOOKUP($F$5,'Material index'!$H$6:$BD$61,VLOOKUP(E45,$A$5:$B$53,2,FALSE),FALSE),"")</f>
        <v>#REF!</v>
      </c>
      <c r="G45" s="15" t="e">
        <f>IF(AND($A45&gt;=#REF!,#REF!&gt;=$A45),$A45,"")</f>
        <v>#REF!</v>
      </c>
      <c r="H45" s="13" t="e">
        <f>IF(AND(G45&gt;=#REF!,#REF!&gt;=G45),VLOOKUP($H$5,'Material index'!$H$6:$BD$61,VLOOKUP(G45,$A$5:$B$53,2,FALSE),FALSE),"")</f>
        <v>#REF!</v>
      </c>
      <c r="I45" s="15" t="e">
        <f>IF(AND($A45&gt;=#REF!,#REF!&gt;=$A45),$A45,"")</f>
        <v>#REF!</v>
      </c>
      <c r="J45" s="13" t="e">
        <f>IF(AND(I45&gt;=#REF!,#REF!&gt;=I45),VLOOKUP($J$5,'Material index'!$H$6:$BD$61,VLOOKUP(I45,$A$5:$B$53,2,FALSE),FALSE),"")</f>
        <v>#REF!</v>
      </c>
      <c r="K45" s="15" t="e">
        <f>IF(AND($A45&gt;=#REF!,#REF!&gt;=$A45),$A45,"")</f>
        <v>#REF!</v>
      </c>
      <c r="L45" s="13" t="e">
        <f>IF(AND(K45&gt;=#REF!,#REF!&gt;=K45),VLOOKUP($L$5,'Material index'!$H$6:$BD$61,VLOOKUP(K45,$A$5:$B$53,2,FALSE),FALSE),"")</f>
        <v>#REF!</v>
      </c>
      <c r="M45" s="15" t="e">
        <f>IF(AND($A45&gt;=#REF!,#REF!&gt;=$A45),$A45,"")</f>
        <v>#REF!</v>
      </c>
      <c r="N45" s="13" t="e">
        <f>IF(AND(M45&gt;=#REF!,#REF!&gt;=M45),VLOOKUP($N$5,'Material index'!$H$6:$BD$61,VLOOKUP(M45,$A$5:$B$53,2,FALSE),FALSE),"")</f>
        <v>#REF!</v>
      </c>
      <c r="O45" s="14"/>
      <c r="P45" s="14"/>
      <c r="Q45" s="15">
        <v>40269</v>
      </c>
      <c r="R45" s="16">
        <v>41</v>
      </c>
      <c r="S45" s="15" t="e">
        <f>IF(AND($A45&gt;=#REF!,#REF!&gt;=$A45),$A45,"")</f>
        <v>#REF!</v>
      </c>
      <c r="T45" s="13" t="e">
        <f>IF(AND(S45&gt;=#REF!,#REF!&gt;=S45),VLOOKUP($D$5,'Material index'!$H$6:$BD$61,VLOOKUP(S45,$A$5:$B$53,2,FALSE),FALSE),"")</f>
        <v>#REF!</v>
      </c>
      <c r="U45" s="15" t="e">
        <f>IF(AND($A45&gt;=#REF!,#REF!&gt;=$A45),$A45,"")</f>
        <v>#REF!</v>
      </c>
      <c r="V45" s="13" t="e">
        <f>IF(AND(U45&gt;=#REF!,#REF!&gt;=U45),VLOOKUP($F$5,'Material index'!$H$6:$BD$61,VLOOKUP(U45,$A$5:$B$53,2,FALSE),FALSE),"")</f>
        <v>#REF!</v>
      </c>
      <c r="W45" s="15" t="e">
        <f>IF(AND($A45&gt;=#REF!,#REF!&gt;=$A45),$A45,"")</f>
        <v>#REF!</v>
      </c>
      <c r="X45" s="13" t="e">
        <f>IF(AND(W45&gt;=#REF!,#REF!&gt;=W45),VLOOKUP($H$5,'Material index'!$H$6:$BD$61,VLOOKUP(W45,$A$5:$B$53,2,FALSE),FALSE),"")</f>
        <v>#REF!</v>
      </c>
      <c r="Y45" s="15" t="e">
        <f>IF(AND($A45&gt;=#REF!,#REF!&gt;=$A45),$A45,"")</f>
        <v>#REF!</v>
      </c>
      <c r="Z45" s="13" t="e">
        <f>IF(AND(Y45&gt;=#REF!,#REF!&gt;=Y45),VLOOKUP($J$5,'Material index'!$H$6:$BD$61,VLOOKUP(Y45,$A$5:$B$53,2,FALSE),FALSE),"")</f>
        <v>#REF!</v>
      </c>
      <c r="AA45" s="15" t="e">
        <f>IF(AND($A45&gt;=#REF!,#REF!&gt;=$A45),$A45,"")</f>
        <v>#REF!</v>
      </c>
      <c r="AB45" s="13" t="e">
        <f>IF(AND(AA45&gt;=#REF!,#REF!&gt;=AA45),VLOOKUP($L$5,'Material index'!$H$6:$BD$61,VLOOKUP(AA45,$A$5:$B$53,2,FALSE),FALSE),"")</f>
        <v>#REF!</v>
      </c>
      <c r="AC45" s="15" t="e">
        <f>IF(AND($A45&gt;=#REF!,#REF!&gt;=$A45),$A45,"")</f>
        <v>#REF!</v>
      </c>
      <c r="AD45" s="13" t="e">
        <f>IF(AND(AC45&gt;=#REF!,#REF!&gt;=AC45),VLOOKUP($N$5,'Material index'!$H$6:$BD$61,VLOOKUP(AC45,$A$5:$B$53,2,FALSE),FALSE),"")</f>
        <v>#REF!</v>
      </c>
    </row>
    <row r="46" spans="1:30">
      <c r="A46" s="15">
        <v>40299</v>
      </c>
      <c r="B46" s="16">
        <v>42</v>
      </c>
      <c r="C46" s="15"/>
      <c r="D46" s="13"/>
      <c r="E46" s="15" t="e">
        <f>IF(AND($A46&gt;=#REF!,#REF!&gt;=$A46),$A46,"")</f>
        <v>#REF!</v>
      </c>
      <c r="F46" s="13" t="e">
        <f>IF(AND(E46&gt;=#REF!,#REF!&gt;=E46),VLOOKUP($F$5,'Material index'!$H$6:$BD$61,VLOOKUP(E46,$A$5:$B$53,2,FALSE),FALSE),"")</f>
        <v>#REF!</v>
      </c>
      <c r="G46" s="15" t="e">
        <f>IF(AND($A46&gt;=#REF!,#REF!&gt;=$A46),$A46,"")</f>
        <v>#REF!</v>
      </c>
      <c r="H46" s="13" t="e">
        <f>IF(AND(G46&gt;=#REF!,#REF!&gt;=G46),VLOOKUP($H$5,'Material index'!$H$6:$BD$61,VLOOKUP(G46,$A$5:$B$53,2,FALSE),FALSE),"")</f>
        <v>#REF!</v>
      </c>
      <c r="I46" s="15" t="e">
        <f>IF(AND($A46&gt;=#REF!,#REF!&gt;=$A46),$A46,"")</f>
        <v>#REF!</v>
      </c>
      <c r="J46" s="13" t="e">
        <f>IF(AND(I46&gt;=#REF!,#REF!&gt;=I46),VLOOKUP($J$5,'Material index'!$H$6:$BD$61,VLOOKUP(I46,$A$5:$B$53,2,FALSE),FALSE),"")</f>
        <v>#REF!</v>
      </c>
      <c r="K46" s="15" t="e">
        <f>IF(AND($A46&gt;=#REF!,#REF!&gt;=$A46),$A46,"")</f>
        <v>#REF!</v>
      </c>
      <c r="L46" s="13" t="e">
        <f>IF(AND(K46&gt;=#REF!,#REF!&gt;=K46),VLOOKUP($L$5,'Material index'!$H$6:$BD$61,VLOOKUP(K46,$A$5:$B$53,2,FALSE),FALSE),"")</f>
        <v>#REF!</v>
      </c>
      <c r="M46" s="15" t="e">
        <f>IF(AND($A46&gt;=#REF!,#REF!&gt;=$A46),$A46,"")</f>
        <v>#REF!</v>
      </c>
      <c r="N46" s="13" t="e">
        <f>IF(AND(M46&gt;=#REF!,#REF!&gt;=M46),VLOOKUP($N$5,'Material index'!$H$6:$BD$61,VLOOKUP(M46,$A$5:$B$53,2,FALSE),FALSE),"")</f>
        <v>#REF!</v>
      </c>
      <c r="O46" s="14"/>
      <c r="P46" s="14"/>
      <c r="Q46" s="15">
        <v>40299</v>
      </c>
      <c r="R46" s="16">
        <v>42</v>
      </c>
      <c r="S46" s="15" t="e">
        <f>IF(AND($A46&gt;=#REF!,#REF!&gt;=$A46),$A46,"")</f>
        <v>#REF!</v>
      </c>
      <c r="T46" s="13" t="e">
        <f>IF(AND(S46&gt;=#REF!,#REF!&gt;=S46),VLOOKUP($D$5,'Material index'!$H$6:$BD$61,VLOOKUP(S46,$A$5:$B$53,2,FALSE),FALSE),"")</f>
        <v>#REF!</v>
      </c>
      <c r="U46" s="15" t="e">
        <f>IF(AND($A46&gt;=#REF!,#REF!&gt;=$A46),$A46,"")</f>
        <v>#REF!</v>
      </c>
      <c r="V46" s="13" t="e">
        <f>IF(AND(U46&gt;=#REF!,#REF!&gt;=U46),VLOOKUP($F$5,'Material index'!$H$6:$BD$61,VLOOKUP(U46,$A$5:$B$53,2,FALSE),FALSE),"")</f>
        <v>#REF!</v>
      </c>
      <c r="W46" s="15" t="e">
        <f>IF(AND($A46&gt;=#REF!,#REF!&gt;=$A46),$A46,"")</f>
        <v>#REF!</v>
      </c>
      <c r="X46" s="13" t="e">
        <f>IF(AND(W46&gt;=#REF!,#REF!&gt;=W46),VLOOKUP($H$5,'Material index'!$H$6:$BD$61,VLOOKUP(W46,$A$5:$B$53,2,FALSE),FALSE),"")</f>
        <v>#REF!</v>
      </c>
      <c r="Y46" s="15" t="e">
        <f>IF(AND($A46&gt;=#REF!,#REF!&gt;=$A46),$A46,"")</f>
        <v>#REF!</v>
      </c>
      <c r="Z46" s="13" t="e">
        <f>IF(AND(Y46&gt;=#REF!,#REF!&gt;=Y46),VLOOKUP($J$5,'Material index'!$H$6:$BD$61,VLOOKUP(Y46,$A$5:$B$53,2,FALSE),FALSE),"")</f>
        <v>#REF!</v>
      </c>
      <c r="AA46" s="15" t="e">
        <f>IF(AND($A46&gt;=#REF!,#REF!&gt;=$A46),$A46,"")</f>
        <v>#REF!</v>
      </c>
      <c r="AB46" s="13" t="e">
        <f>IF(AND(AA46&gt;=#REF!,#REF!&gt;=AA46),VLOOKUP($L$5,'Material index'!$H$6:$BD$61,VLOOKUP(AA46,$A$5:$B$53,2,FALSE),FALSE),"")</f>
        <v>#REF!</v>
      </c>
      <c r="AC46" s="15" t="e">
        <f>IF(AND($A46&gt;=#REF!,#REF!&gt;=$A46),$A46,"")</f>
        <v>#REF!</v>
      </c>
      <c r="AD46" s="13" t="e">
        <f>IF(AND(AC46&gt;=#REF!,#REF!&gt;=AC46),VLOOKUP($N$5,'Material index'!$H$6:$BD$61,VLOOKUP(AC46,$A$5:$B$53,2,FALSE),FALSE),"")</f>
        <v>#REF!</v>
      </c>
    </row>
    <row r="47" spans="1:30">
      <c r="A47" s="15">
        <v>40330</v>
      </c>
      <c r="B47" s="16">
        <v>43</v>
      </c>
      <c r="C47" s="15"/>
      <c r="D47" s="13"/>
      <c r="E47" s="15" t="e">
        <f>IF(AND($A47&gt;=#REF!,#REF!&gt;=$A47),$A47,"")</f>
        <v>#REF!</v>
      </c>
      <c r="F47" s="13" t="e">
        <f>IF(AND(E47&gt;=#REF!,#REF!&gt;=E47),VLOOKUP($F$5,'Material index'!$H$6:$BD$61,VLOOKUP(E47,$A$5:$B$53,2,FALSE),FALSE),"")</f>
        <v>#REF!</v>
      </c>
      <c r="G47" s="15" t="e">
        <f>IF(AND($A47&gt;=#REF!,#REF!&gt;=$A47),$A47,"")</f>
        <v>#REF!</v>
      </c>
      <c r="H47" s="13" t="e">
        <f>IF(AND(G47&gt;=#REF!,#REF!&gt;=G47),VLOOKUP($H$5,'Material index'!$H$6:$BD$61,VLOOKUP(G47,$A$5:$B$53,2,FALSE),FALSE),"")</f>
        <v>#REF!</v>
      </c>
      <c r="I47" s="15" t="e">
        <f>IF(AND($A47&gt;=#REF!,#REF!&gt;=$A47),$A47,"")</f>
        <v>#REF!</v>
      </c>
      <c r="J47" s="13" t="e">
        <f>IF(AND(I47&gt;=#REF!,#REF!&gt;=I47),VLOOKUP($J$5,'Material index'!$H$6:$BD$61,VLOOKUP(I47,$A$5:$B$53,2,FALSE),FALSE),"")</f>
        <v>#REF!</v>
      </c>
      <c r="K47" s="15" t="e">
        <f>IF(AND($A47&gt;=#REF!,#REF!&gt;=$A47),$A47,"")</f>
        <v>#REF!</v>
      </c>
      <c r="L47" s="13" t="e">
        <f>IF(AND(K47&gt;=#REF!,#REF!&gt;=K47),VLOOKUP($L$5,'Material index'!$H$6:$BD$61,VLOOKUP(K47,$A$5:$B$53,2,FALSE),FALSE),"")</f>
        <v>#REF!</v>
      </c>
      <c r="M47" s="15" t="e">
        <f>IF(AND($A47&gt;=#REF!,#REF!&gt;=$A47),$A47,"")</f>
        <v>#REF!</v>
      </c>
      <c r="N47" s="13" t="e">
        <f>IF(AND(M47&gt;=#REF!,#REF!&gt;=M47),VLOOKUP($N$5,'Material index'!$H$6:$BD$61,VLOOKUP(M47,$A$5:$B$53,2,FALSE),FALSE),"")</f>
        <v>#REF!</v>
      </c>
      <c r="O47" s="14"/>
      <c r="P47" s="14"/>
      <c r="Q47" s="15">
        <v>40330</v>
      </c>
      <c r="R47" s="16">
        <v>43</v>
      </c>
      <c r="S47" s="15" t="e">
        <f>IF(AND($A47&gt;=#REF!,#REF!&gt;=$A47),$A47,"")</f>
        <v>#REF!</v>
      </c>
      <c r="T47" s="13" t="e">
        <f>IF(AND(S47&gt;=#REF!,#REF!&gt;=S47),VLOOKUP($D$5,'Material index'!$H$6:$BD$61,VLOOKUP(S47,$A$5:$B$53,2,FALSE),FALSE),"")</f>
        <v>#REF!</v>
      </c>
      <c r="U47" s="15" t="e">
        <f>IF(AND($A47&gt;=#REF!,#REF!&gt;=$A47),$A47,"")</f>
        <v>#REF!</v>
      </c>
      <c r="V47" s="13" t="e">
        <f>IF(AND(U47&gt;=#REF!,#REF!&gt;=U47),VLOOKUP($F$5,'Material index'!$H$6:$BD$61,VLOOKUP(U47,$A$5:$B$53,2,FALSE),FALSE),"")</f>
        <v>#REF!</v>
      </c>
      <c r="W47" s="15" t="e">
        <f>IF(AND($A47&gt;=#REF!,#REF!&gt;=$A47),$A47,"")</f>
        <v>#REF!</v>
      </c>
      <c r="X47" s="13" t="e">
        <f>IF(AND(W47&gt;=#REF!,#REF!&gt;=W47),VLOOKUP($H$5,'Material index'!$H$6:$BD$61,VLOOKUP(W47,$A$5:$B$53,2,FALSE),FALSE),"")</f>
        <v>#REF!</v>
      </c>
      <c r="Y47" s="15" t="e">
        <f>IF(AND($A47&gt;=#REF!,#REF!&gt;=$A47),$A47,"")</f>
        <v>#REF!</v>
      </c>
      <c r="Z47" s="13" t="e">
        <f>IF(AND(Y47&gt;=#REF!,#REF!&gt;=Y47),VLOOKUP($J$5,'Material index'!$H$6:$BD$61,VLOOKUP(Y47,$A$5:$B$53,2,FALSE),FALSE),"")</f>
        <v>#REF!</v>
      </c>
      <c r="AA47" s="15" t="e">
        <f>IF(AND($A47&gt;=#REF!,#REF!&gt;=$A47),$A47,"")</f>
        <v>#REF!</v>
      </c>
      <c r="AB47" s="13" t="e">
        <f>IF(AND(AA47&gt;=#REF!,#REF!&gt;=AA47),VLOOKUP($L$5,'Material index'!$H$6:$BD$61,VLOOKUP(AA47,$A$5:$B$53,2,FALSE),FALSE),"")</f>
        <v>#REF!</v>
      </c>
      <c r="AC47" s="15" t="e">
        <f>IF(AND($A47&gt;=#REF!,#REF!&gt;=$A47),$A47,"")</f>
        <v>#REF!</v>
      </c>
      <c r="AD47" s="13" t="e">
        <f>IF(AND(AC47&gt;=#REF!,#REF!&gt;=AC47),VLOOKUP($N$5,'Material index'!$H$6:$BD$61,VLOOKUP(AC47,$A$5:$B$53,2,FALSE),FALSE),"")</f>
        <v>#REF!</v>
      </c>
    </row>
    <row r="48" spans="1:30">
      <c r="A48" s="15">
        <v>40360</v>
      </c>
      <c r="B48" s="16">
        <v>44</v>
      </c>
      <c r="C48" s="15"/>
      <c r="D48" s="13"/>
      <c r="E48" s="15" t="e">
        <f>IF(AND($A48&gt;=#REF!,#REF!&gt;=$A48),$A48,"")</f>
        <v>#REF!</v>
      </c>
      <c r="F48" s="13" t="e">
        <f>IF(AND(E48&gt;=#REF!,#REF!&gt;=E48),VLOOKUP($F$5,'Material index'!$H$6:$BD$61,VLOOKUP(E48,$A$5:$B$53,2,FALSE),FALSE),"")</f>
        <v>#REF!</v>
      </c>
      <c r="G48" s="15" t="e">
        <f>IF(AND($A48&gt;=#REF!,#REF!&gt;=$A48),$A48,"")</f>
        <v>#REF!</v>
      </c>
      <c r="H48" s="13" t="e">
        <f>IF(AND(G48&gt;=#REF!,#REF!&gt;=G48),VLOOKUP($H$5,'Material index'!$H$6:$BD$61,VLOOKUP(G48,$A$5:$B$53,2,FALSE),FALSE),"")</f>
        <v>#REF!</v>
      </c>
      <c r="I48" s="15" t="e">
        <f>IF(AND($A48&gt;=#REF!,#REF!&gt;=$A48),$A48,"")</f>
        <v>#REF!</v>
      </c>
      <c r="J48" s="13" t="e">
        <f>IF(AND(I48&gt;=#REF!,#REF!&gt;=I48),VLOOKUP($J$5,'Material index'!$H$6:$BD$61,VLOOKUP(I48,$A$5:$B$53,2,FALSE),FALSE),"")</f>
        <v>#REF!</v>
      </c>
      <c r="K48" s="15" t="e">
        <f>IF(AND($A48&gt;=#REF!,#REF!&gt;=$A48),$A48,"")</f>
        <v>#REF!</v>
      </c>
      <c r="L48" s="13" t="e">
        <f>IF(AND(K48&gt;=#REF!,#REF!&gt;=K48),VLOOKUP($L$5,'Material index'!$H$6:$BD$61,VLOOKUP(K48,$A$5:$B$53,2,FALSE),FALSE),"")</f>
        <v>#REF!</v>
      </c>
      <c r="M48" s="15" t="e">
        <f>IF(AND($A48&gt;=#REF!,#REF!&gt;=$A48),$A48,"")</f>
        <v>#REF!</v>
      </c>
      <c r="N48" s="13" t="e">
        <f>IF(AND(M48&gt;=#REF!,#REF!&gt;=M48),VLOOKUP($N$5,'Material index'!$H$6:$BD$61,VLOOKUP(M48,$A$5:$B$53,2,FALSE),FALSE),"")</f>
        <v>#REF!</v>
      </c>
      <c r="O48" s="14"/>
      <c r="P48" s="14"/>
      <c r="Q48" s="15">
        <v>40360</v>
      </c>
      <c r="R48" s="16">
        <v>44</v>
      </c>
      <c r="S48" s="15" t="e">
        <f>IF(AND($A48&gt;=#REF!,#REF!&gt;=$A48),$A48,"")</f>
        <v>#REF!</v>
      </c>
      <c r="T48" s="13" t="e">
        <f>IF(AND(S48&gt;=#REF!,#REF!&gt;=S48),VLOOKUP($D$5,'Material index'!$H$6:$BD$61,VLOOKUP(S48,$A$5:$B$53,2,FALSE),FALSE),"")</f>
        <v>#REF!</v>
      </c>
      <c r="U48" s="15" t="e">
        <f>IF(AND($A48&gt;=#REF!,#REF!&gt;=$A48),$A48,"")</f>
        <v>#REF!</v>
      </c>
      <c r="V48" s="13" t="e">
        <f>IF(AND(U48&gt;=#REF!,#REF!&gt;=U48),VLOOKUP($F$5,'Material index'!$H$6:$BD$61,VLOOKUP(U48,$A$5:$B$53,2,FALSE),FALSE),"")</f>
        <v>#REF!</v>
      </c>
      <c r="W48" s="15" t="e">
        <f>IF(AND($A48&gt;=#REF!,#REF!&gt;=$A48),$A48,"")</f>
        <v>#REF!</v>
      </c>
      <c r="X48" s="13" t="e">
        <f>IF(AND(W48&gt;=#REF!,#REF!&gt;=W48),VLOOKUP($H$5,'Material index'!$H$6:$BD$61,VLOOKUP(W48,$A$5:$B$53,2,FALSE),FALSE),"")</f>
        <v>#REF!</v>
      </c>
      <c r="Y48" s="15" t="e">
        <f>IF(AND($A48&gt;=#REF!,#REF!&gt;=$A48),$A48,"")</f>
        <v>#REF!</v>
      </c>
      <c r="Z48" s="13" t="e">
        <f>IF(AND(Y48&gt;=#REF!,#REF!&gt;=Y48),VLOOKUP($J$5,'Material index'!$H$6:$BD$61,VLOOKUP(Y48,$A$5:$B$53,2,FALSE),FALSE),"")</f>
        <v>#REF!</v>
      </c>
      <c r="AA48" s="15" t="e">
        <f>IF(AND($A48&gt;=#REF!,#REF!&gt;=$A48),$A48,"")</f>
        <v>#REF!</v>
      </c>
      <c r="AB48" s="13" t="e">
        <f>IF(AND(AA48&gt;=#REF!,#REF!&gt;=AA48),VLOOKUP($L$5,'Material index'!$H$6:$BD$61,VLOOKUP(AA48,$A$5:$B$53,2,FALSE),FALSE),"")</f>
        <v>#REF!</v>
      </c>
      <c r="AC48" s="15" t="e">
        <f>IF(AND($A48&gt;=#REF!,#REF!&gt;=$A48),$A48,"")</f>
        <v>#REF!</v>
      </c>
      <c r="AD48" s="13" t="e">
        <f>IF(AND(AC48&gt;=#REF!,#REF!&gt;=AC48),VLOOKUP($N$5,'Material index'!$H$6:$BD$61,VLOOKUP(AC48,$A$5:$B$53,2,FALSE),FALSE),"")</f>
        <v>#REF!</v>
      </c>
    </row>
    <row r="49" spans="1:30">
      <c r="A49" s="15">
        <v>40391</v>
      </c>
      <c r="B49" s="16">
        <v>45</v>
      </c>
      <c r="C49" s="15"/>
      <c r="D49" s="13"/>
      <c r="E49" s="15" t="e">
        <f>IF(AND($A49&gt;=#REF!,#REF!&gt;=$A49),$A49,"")</f>
        <v>#REF!</v>
      </c>
      <c r="F49" s="13" t="e">
        <f>IF(AND(E49&gt;=#REF!,#REF!&gt;=E49),VLOOKUP($F$5,'Material index'!$H$6:$BD$61,VLOOKUP(E49,$A$5:$B$53,2,FALSE),FALSE),"")</f>
        <v>#REF!</v>
      </c>
      <c r="G49" s="15" t="e">
        <f>IF(AND($A49&gt;=#REF!,#REF!&gt;=$A49),$A49,"")</f>
        <v>#REF!</v>
      </c>
      <c r="H49" s="13" t="e">
        <f>IF(AND(G49&gt;=#REF!,#REF!&gt;=G49),VLOOKUP($H$5,'Material index'!$H$6:$BD$61,VLOOKUP(G49,$A$5:$B$53,2,FALSE),FALSE),"")</f>
        <v>#REF!</v>
      </c>
      <c r="I49" s="15" t="e">
        <f>IF(AND($A49&gt;=#REF!,#REF!&gt;=$A49),$A49,"")</f>
        <v>#REF!</v>
      </c>
      <c r="J49" s="13" t="e">
        <f>IF(AND(I49&gt;=#REF!,#REF!&gt;=I49),VLOOKUP($J$5,'Material index'!$H$6:$BD$61,VLOOKUP(I49,$A$5:$B$53,2,FALSE),FALSE),"")</f>
        <v>#REF!</v>
      </c>
      <c r="K49" s="15" t="e">
        <f>IF(AND($A49&gt;=#REF!,#REF!&gt;=$A49),$A49,"")</f>
        <v>#REF!</v>
      </c>
      <c r="L49" s="13" t="e">
        <f>IF(AND(K49&gt;=#REF!,#REF!&gt;=K49),VLOOKUP($L$5,'Material index'!$H$6:$BD$61,VLOOKUP(K49,$A$5:$B$53,2,FALSE),FALSE),"")</f>
        <v>#REF!</v>
      </c>
      <c r="M49" s="15" t="e">
        <f>IF(AND($A49&gt;=#REF!,#REF!&gt;=$A49),$A49,"")</f>
        <v>#REF!</v>
      </c>
      <c r="N49" s="13" t="e">
        <f>IF(AND(M49&gt;=#REF!,#REF!&gt;=M49),VLOOKUP($N$5,'Material index'!$H$6:$BD$61,VLOOKUP(M49,$A$5:$B$53,2,FALSE),FALSE),"")</f>
        <v>#REF!</v>
      </c>
      <c r="O49" s="14"/>
      <c r="P49" s="14"/>
      <c r="Q49" s="15">
        <v>40391</v>
      </c>
      <c r="R49" s="16">
        <v>45</v>
      </c>
      <c r="S49" s="15" t="e">
        <f>IF(AND($A49&gt;=#REF!,#REF!&gt;=$A49),$A49,"")</f>
        <v>#REF!</v>
      </c>
      <c r="T49" s="13" t="e">
        <f>IF(AND(S49&gt;=#REF!,#REF!&gt;=S49),VLOOKUP($D$5,'Material index'!$H$6:$BD$61,VLOOKUP(S49,$A$5:$B$53,2,FALSE),FALSE),"")</f>
        <v>#REF!</v>
      </c>
      <c r="U49" s="15" t="e">
        <f>IF(AND($A49&gt;=#REF!,#REF!&gt;=$A49),$A49,"")</f>
        <v>#REF!</v>
      </c>
      <c r="V49" s="13" t="e">
        <f>IF(AND(U49&gt;=#REF!,#REF!&gt;=U49),VLOOKUP($F$5,'Material index'!$H$6:$BD$61,VLOOKUP(U49,$A$5:$B$53,2,FALSE),FALSE),"")</f>
        <v>#REF!</v>
      </c>
      <c r="W49" s="15" t="e">
        <f>IF(AND($A49&gt;=#REF!,#REF!&gt;=$A49),$A49,"")</f>
        <v>#REF!</v>
      </c>
      <c r="X49" s="13" t="e">
        <f>IF(AND(W49&gt;=#REF!,#REF!&gt;=W49),VLOOKUP($H$5,'Material index'!$H$6:$BD$61,VLOOKUP(W49,$A$5:$B$53,2,FALSE),FALSE),"")</f>
        <v>#REF!</v>
      </c>
      <c r="Y49" s="15" t="e">
        <f>IF(AND($A49&gt;=#REF!,#REF!&gt;=$A49),$A49,"")</f>
        <v>#REF!</v>
      </c>
      <c r="Z49" s="13" t="e">
        <f>IF(AND(Y49&gt;=#REF!,#REF!&gt;=Y49),VLOOKUP($J$5,'Material index'!$H$6:$BD$61,VLOOKUP(Y49,$A$5:$B$53,2,FALSE),FALSE),"")</f>
        <v>#REF!</v>
      </c>
      <c r="AA49" s="15" t="e">
        <f>IF(AND($A49&gt;=#REF!,#REF!&gt;=$A49),$A49,"")</f>
        <v>#REF!</v>
      </c>
      <c r="AB49" s="13" t="e">
        <f>IF(AND(AA49&gt;=#REF!,#REF!&gt;=AA49),VLOOKUP($L$5,'Material index'!$H$6:$BD$61,VLOOKUP(AA49,$A$5:$B$53,2,FALSE),FALSE),"")</f>
        <v>#REF!</v>
      </c>
      <c r="AC49" s="15" t="e">
        <f>IF(AND($A49&gt;=#REF!,#REF!&gt;=$A49),$A49,"")</f>
        <v>#REF!</v>
      </c>
      <c r="AD49" s="13" t="e">
        <f>IF(AND(AC49&gt;=#REF!,#REF!&gt;=AC49),VLOOKUP($N$5,'Material index'!$H$6:$BD$61,VLOOKUP(AC49,$A$5:$B$53,2,FALSE),FALSE),"")</f>
        <v>#REF!</v>
      </c>
    </row>
    <row r="50" spans="1:30">
      <c r="A50" s="15">
        <v>40422</v>
      </c>
      <c r="B50" s="16">
        <v>46</v>
      </c>
      <c r="C50" s="15"/>
      <c r="D50" s="13"/>
      <c r="E50" s="15" t="e">
        <f>IF(AND($A50&gt;=#REF!,#REF!&gt;=$A50),$A50,"")</f>
        <v>#REF!</v>
      </c>
      <c r="F50" s="13" t="e">
        <f>IF(AND(E50&gt;=#REF!,#REF!&gt;=E50),VLOOKUP($F$5,'Material index'!$H$6:$BD$61,VLOOKUP(E50,$A$5:$B$53,2,FALSE),FALSE),"")</f>
        <v>#REF!</v>
      </c>
      <c r="G50" s="15" t="e">
        <f>IF(AND($A50&gt;=#REF!,#REF!&gt;=$A50),$A50,"")</f>
        <v>#REF!</v>
      </c>
      <c r="H50" s="13" t="e">
        <f>IF(AND(G50&gt;=#REF!,#REF!&gt;=G50),VLOOKUP($H$5,'Material index'!$H$6:$BD$61,VLOOKUP(G50,$A$5:$B$53,2,FALSE),FALSE),"")</f>
        <v>#REF!</v>
      </c>
      <c r="I50" s="15" t="e">
        <f>IF(AND($A50&gt;=#REF!,#REF!&gt;=$A50),$A50,"")</f>
        <v>#REF!</v>
      </c>
      <c r="J50" s="13" t="e">
        <f>IF(AND(I50&gt;=#REF!,#REF!&gt;=I50),VLOOKUP($J$5,'Material index'!$H$6:$BD$61,VLOOKUP(I50,$A$5:$B$53,2,FALSE),FALSE),"")</f>
        <v>#REF!</v>
      </c>
      <c r="K50" s="15" t="e">
        <f>IF(AND($A50&gt;=#REF!,#REF!&gt;=$A50),$A50,"")</f>
        <v>#REF!</v>
      </c>
      <c r="L50" s="13" t="e">
        <f>IF(AND(K50&gt;=#REF!,#REF!&gt;=K50),VLOOKUP($L$5,'Material index'!$H$6:$BD$61,VLOOKUP(K50,$A$5:$B$53,2,FALSE),FALSE),"")</f>
        <v>#REF!</v>
      </c>
      <c r="M50" s="15" t="e">
        <f>IF(AND($A50&gt;=#REF!,#REF!&gt;=$A50),$A50,"")</f>
        <v>#REF!</v>
      </c>
      <c r="N50" s="13" t="e">
        <f>IF(AND(M50&gt;=#REF!,#REF!&gt;=M50),VLOOKUP($N$5,'Material index'!$H$6:$BD$61,VLOOKUP(M50,$A$5:$B$53,2,FALSE),FALSE),"")</f>
        <v>#REF!</v>
      </c>
      <c r="O50" s="14"/>
      <c r="P50" s="14"/>
      <c r="Q50" s="15">
        <v>40422</v>
      </c>
      <c r="R50" s="16">
        <v>46</v>
      </c>
      <c r="S50" s="15" t="e">
        <f>IF(AND($A50&gt;=#REF!,#REF!&gt;=$A50),$A50,"")</f>
        <v>#REF!</v>
      </c>
      <c r="T50" s="13" t="e">
        <f>IF(AND(S50&gt;=#REF!,#REF!&gt;=S50),VLOOKUP($D$5,'Material index'!$H$6:$BD$61,VLOOKUP(S50,$A$5:$B$53,2,FALSE),FALSE),"")</f>
        <v>#REF!</v>
      </c>
      <c r="U50" s="15" t="e">
        <f>IF(AND($A50&gt;=#REF!,#REF!&gt;=$A50),$A50,"")</f>
        <v>#REF!</v>
      </c>
      <c r="V50" s="13" t="e">
        <f>IF(AND(U50&gt;=#REF!,#REF!&gt;=U50),VLOOKUP($F$5,'Material index'!$H$6:$BD$61,VLOOKUP(U50,$A$5:$B$53,2,FALSE),FALSE),"")</f>
        <v>#REF!</v>
      </c>
      <c r="W50" s="15" t="e">
        <f>IF(AND($A50&gt;=#REF!,#REF!&gt;=$A50),$A50,"")</f>
        <v>#REF!</v>
      </c>
      <c r="X50" s="13" t="e">
        <f>IF(AND(W50&gt;=#REF!,#REF!&gt;=W50),VLOOKUP($H$5,'Material index'!$H$6:$BD$61,VLOOKUP(W50,$A$5:$B$53,2,FALSE),FALSE),"")</f>
        <v>#REF!</v>
      </c>
      <c r="Y50" s="15" t="e">
        <f>IF(AND($A50&gt;=#REF!,#REF!&gt;=$A50),$A50,"")</f>
        <v>#REF!</v>
      </c>
      <c r="Z50" s="13" t="e">
        <f>IF(AND(Y50&gt;=#REF!,#REF!&gt;=Y50),VLOOKUP($J$5,'Material index'!$H$6:$BD$61,VLOOKUP(Y50,$A$5:$B$53,2,FALSE),FALSE),"")</f>
        <v>#REF!</v>
      </c>
      <c r="AA50" s="15" t="e">
        <f>IF(AND($A50&gt;=#REF!,#REF!&gt;=$A50),$A50,"")</f>
        <v>#REF!</v>
      </c>
      <c r="AB50" s="13" t="e">
        <f>IF(AND(AA50&gt;=#REF!,#REF!&gt;=AA50),VLOOKUP($L$5,'Material index'!$H$6:$BD$61,VLOOKUP(AA50,$A$5:$B$53,2,FALSE),FALSE),"")</f>
        <v>#REF!</v>
      </c>
      <c r="AC50" s="15" t="e">
        <f>IF(AND($A50&gt;=#REF!,#REF!&gt;=$A50),$A50,"")</f>
        <v>#REF!</v>
      </c>
      <c r="AD50" s="13" t="e">
        <f>IF(AND(AC50&gt;=#REF!,#REF!&gt;=AC50),VLOOKUP($N$5,'Material index'!$H$6:$BD$61,VLOOKUP(AC50,$A$5:$B$53,2,FALSE),FALSE),"")</f>
        <v>#REF!</v>
      </c>
    </row>
    <row r="51" spans="1:30">
      <c r="A51" s="15">
        <v>40452</v>
      </c>
      <c r="B51" s="16">
        <v>47</v>
      </c>
      <c r="C51" s="15"/>
      <c r="D51" s="13"/>
      <c r="E51" s="15" t="e">
        <f>IF(AND($A51&gt;=#REF!,#REF!&gt;=$A51),$A51,"")</f>
        <v>#REF!</v>
      </c>
      <c r="F51" s="13" t="e">
        <f>IF(AND(E51&gt;=#REF!,#REF!&gt;=E51),VLOOKUP($F$5,'Material index'!$H$6:$BD$61,VLOOKUP(E51,$A$5:$B$53,2,FALSE),FALSE),"")</f>
        <v>#REF!</v>
      </c>
      <c r="G51" s="15" t="e">
        <f>IF(AND($A51&gt;=#REF!,#REF!&gt;=$A51),$A51,"")</f>
        <v>#REF!</v>
      </c>
      <c r="H51" s="13" t="e">
        <f>IF(AND(G51&gt;=#REF!,#REF!&gt;=G51),VLOOKUP($H$5,'Material index'!$H$6:$BD$61,VLOOKUP(G51,$A$5:$B$53,2,FALSE),FALSE),"")</f>
        <v>#REF!</v>
      </c>
      <c r="I51" s="15" t="e">
        <f>IF(AND($A51&gt;=#REF!,#REF!&gt;=$A51),$A51,"")</f>
        <v>#REF!</v>
      </c>
      <c r="J51" s="13" t="e">
        <f>IF(AND(I51&gt;=#REF!,#REF!&gt;=I51),VLOOKUP($J$5,'Material index'!$H$6:$BD$61,VLOOKUP(I51,$A$5:$B$53,2,FALSE),FALSE),"")</f>
        <v>#REF!</v>
      </c>
      <c r="K51" s="15" t="e">
        <f>IF(AND($A51&gt;=#REF!,#REF!&gt;=$A51),$A51,"")</f>
        <v>#REF!</v>
      </c>
      <c r="L51" s="13" t="e">
        <f>IF(AND(K51&gt;=#REF!,#REF!&gt;=K51),VLOOKUP($L$5,'Material index'!$H$6:$BD$61,VLOOKUP(K51,$A$5:$B$53,2,FALSE),FALSE),"")</f>
        <v>#REF!</v>
      </c>
      <c r="M51" s="15" t="e">
        <f>IF(AND($A51&gt;=#REF!,#REF!&gt;=$A51),$A51,"")</f>
        <v>#REF!</v>
      </c>
      <c r="N51" s="13" t="e">
        <f>IF(AND(M51&gt;=#REF!,#REF!&gt;=M51),VLOOKUP($N$5,'Material index'!$H$6:$BD$61,VLOOKUP(M51,$A$5:$B$53,2,FALSE),FALSE),"")</f>
        <v>#REF!</v>
      </c>
      <c r="O51" s="14"/>
      <c r="P51" s="14"/>
      <c r="Q51" s="15">
        <v>40452</v>
      </c>
      <c r="R51" s="16">
        <v>47</v>
      </c>
      <c r="S51" s="15" t="e">
        <f>IF(AND($A51&gt;=#REF!,#REF!&gt;=$A51),$A51,"")</f>
        <v>#REF!</v>
      </c>
      <c r="T51" s="13" t="e">
        <f>IF(AND(S51&gt;=#REF!,#REF!&gt;=S51),VLOOKUP($D$5,'Material index'!$H$6:$BD$61,VLOOKUP(S51,$A$5:$B$53,2,FALSE),FALSE),"")</f>
        <v>#REF!</v>
      </c>
      <c r="U51" s="15" t="e">
        <f>IF(AND($A51&gt;=#REF!,#REF!&gt;=$A51),$A51,"")</f>
        <v>#REF!</v>
      </c>
      <c r="V51" s="13" t="e">
        <f>IF(AND(U51&gt;=#REF!,#REF!&gt;=U51),VLOOKUP($F$5,'Material index'!$H$6:$BD$61,VLOOKUP(U51,$A$5:$B$53,2,FALSE),FALSE),"")</f>
        <v>#REF!</v>
      </c>
      <c r="W51" s="15" t="e">
        <f>IF(AND($A51&gt;=#REF!,#REF!&gt;=$A51),$A51,"")</f>
        <v>#REF!</v>
      </c>
      <c r="X51" s="13" t="e">
        <f>IF(AND(W51&gt;=#REF!,#REF!&gt;=W51),VLOOKUP($H$5,'Material index'!$H$6:$BD$61,VLOOKUP(W51,$A$5:$B$53,2,FALSE),FALSE),"")</f>
        <v>#REF!</v>
      </c>
      <c r="Y51" s="15" t="e">
        <f>IF(AND($A51&gt;=#REF!,#REF!&gt;=$A51),$A51,"")</f>
        <v>#REF!</v>
      </c>
      <c r="Z51" s="13" t="e">
        <f>IF(AND(Y51&gt;=#REF!,#REF!&gt;=Y51),VLOOKUP($J$5,'Material index'!$H$6:$BD$61,VLOOKUP(Y51,$A$5:$B$53,2,FALSE),FALSE),"")</f>
        <v>#REF!</v>
      </c>
      <c r="AA51" s="15" t="e">
        <f>IF(AND($A51&gt;=#REF!,#REF!&gt;=$A51),$A51,"")</f>
        <v>#REF!</v>
      </c>
      <c r="AB51" s="13" t="e">
        <f>IF(AND(AA51&gt;=#REF!,#REF!&gt;=AA51),VLOOKUP($L$5,'Material index'!$H$6:$BD$61,VLOOKUP(AA51,$A$5:$B$53,2,FALSE),FALSE),"")</f>
        <v>#REF!</v>
      </c>
      <c r="AC51" s="15" t="e">
        <f>IF(AND($A51&gt;=#REF!,#REF!&gt;=$A51),$A51,"")</f>
        <v>#REF!</v>
      </c>
      <c r="AD51" s="13" t="e">
        <f>IF(AND(AC51&gt;=#REF!,#REF!&gt;=AC51),VLOOKUP($N$5,'Material index'!$H$6:$BD$61,VLOOKUP(AC51,$A$5:$B$53,2,FALSE),FALSE),"")</f>
        <v>#REF!</v>
      </c>
    </row>
    <row r="52" spans="1:30">
      <c r="A52" s="15">
        <v>40483</v>
      </c>
      <c r="B52" s="16">
        <v>48</v>
      </c>
      <c r="C52" s="15"/>
      <c r="D52" s="13"/>
      <c r="E52" s="15" t="e">
        <f>IF(AND($A52&gt;=#REF!,#REF!&gt;=$A52),$A52,"")</f>
        <v>#REF!</v>
      </c>
      <c r="F52" s="13" t="e">
        <f>IF(AND(E52&gt;=#REF!,#REF!&gt;=E52),VLOOKUP($F$5,'Material index'!$H$6:$BD$61,VLOOKUP(E52,$A$5:$B$53,2,FALSE),FALSE),"")</f>
        <v>#REF!</v>
      </c>
      <c r="G52" s="15" t="e">
        <f>IF(AND($A52&gt;=#REF!,#REF!&gt;=$A52),$A52,"")</f>
        <v>#REF!</v>
      </c>
      <c r="H52" s="13" t="e">
        <f>IF(AND(G52&gt;=#REF!,#REF!&gt;=G52),VLOOKUP($H$5,'Material index'!$H$6:$BD$61,VLOOKUP(G52,$A$5:$B$53,2,FALSE),FALSE),"")</f>
        <v>#REF!</v>
      </c>
      <c r="I52" s="15" t="e">
        <f>IF(AND($A52&gt;=#REF!,#REF!&gt;=$A52),$A52,"")</f>
        <v>#REF!</v>
      </c>
      <c r="J52" s="13" t="e">
        <f>IF(AND(I52&gt;=#REF!,#REF!&gt;=I52),VLOOKUP($J$5,'Material index'!$H$6:$BD$61,VLOOKUP(I52,$A$5:$B$53,2,FALSE),FALSE),"")</f>
        <v>#REF!</v>
      </c>
      <c r="K52" s="15" t="e">
        <f>IF(AND($A52&gt;=#REF!,#REF!&gt;=$A52),$A52,"")</f>
        <v>#REF!</v>
      </c>
      <c r="L52" s="13" t="e">
        <f>IF(AND(K52&gt;=#REF!,#REF!&gt;=K52),VLOOKUP($L$5,'Material index'!$H$6:$BD$61,VLOOKUP(K52,$A$5:$B$53,2,FALSE),FALSE),"")</f>
        <v>#REF!</v>
      </c>
      <c r="M52" s="15" t="e">
        <f>IF(AND($A52&gt;=#REF!,#REF!&gt;=$A52),$A52,"")</f>
        <v>#REF!</v>
      </c>
      <c r="N52" s="13" t="e">
        <f>IF(AND(M52&gt;=#REF!,#REF!&gt;=M52),VLOOKUP($N$5,'Material index'!$H$6:$BD$61,VLOOKUP(M52,$A$5:$B$53,2,FALSE),FALSE),"")</f>
        <v>#REF!</v>
      </c>
      <c r="O52" s="14"/>
      <c r="P52" s="14"/>
      <c r="Q52" s="15">
        <v>40483</v>
      </c>
      <c r="R52" s="16">
        <v>48</v>
      </c>
      <c r="S52" s="15" t="e">
        <f>IF(AND($A52&gt;=#REF!,#REF!&gt;=$A52),$A52,"")</f>
        <v>#REF!</v>
      </c>
      <c r="T52" s="13" t="e">
        <f>IF(AND(S52&gt;=#REF!,#REF!&gt;=S52),VLOOKUP($D$5,'Material index'!$H$6:$BD$61,VLOOKUP(S52,$A$5:$B$53,2,FALSE),FALSE),"")</f>
        <v>#REF!</v>
      </c>
      <c r="U52" s="15" t="e">
        <f>IF(AND($A52&gt;=#REF!,#REF!&gt;=$A52),$A52,"")</f>
        <v>#REF!</v>
      </c>
      <c r="V52" s="13" t="e">
        <f>IF(AND(U52&gt;=#REF!,#REF!&gt;=U52),VLOOKUP($F$5,'Material index'!$H$6:$BD$61,VLOOKUP(U52,$A$5:$B$53,2,FALSE),FALSE),"")</f>
        <v>#REF!</v>
      </c>
      <c r="W52" s="15" t="e">
        <f>IF(AND($A52&gt;=#REF!,#REF!&gt;=$A52),$A52,"")</f>
        <v>#REF!</v>
      </c>
      <c r="X52" s="13" t="e">
        <f>IF(AND(W52&gt;=#REF!,#REF!&gt;=W52),VLOOKUP($H$5,'Material index'!$H$6:$BD$61,VLOOKUP(W52,$A$5:$B$53,2,FALSE),FALSE),"")</f>
        <v>#REF!</v>
      </c>
      <c r="Y52" s="15" t="e">
        <f>IF(AND($A52&gt;=#REF!,#REF!&gt;=$A52),$A52,"")</f>
        <v>#REF!</v>
      </c>
      <c r="Z52" s="13" t="e">
        <f>IF(AND(Y52&gt;=#REF!,#REF!&gt;=Y52),VLOOKUP($J$5,'Material index'!$H$6:$BD$61,VLOOKUP(Y52,$A$5:$B$53,2,FALSE),FALSE),"")</f>
        <v>#REF!</v>
      </c>
      <c r="AA52" s="15" t="e">
        <f>IF(AND($A52&gt;=#REF!,#REF!&gt;=$A52),$A52,"")</f>
        <v>#REF!</v>
      </c>
      <c r="AB52" s="13" t="e">
        <f>IF(AND(AA52&gt;=#REF!,#REF!&gt;=AA52),VLOOKUP($L$5,'Material index'!$H$6:$BD$61,VLOOKUP(AA52,$A$5:$B$53,2,FALSE),FALSE),"")</f>
        <v>#REF!</v>
      </c>
      <c r="AC52" s="15" t="e">
        <f>IF(AND($A52&gt;=#REF!,#REF!&gt;=$A52),$A52,"")</f>
        <v>#REF!</v>
      </c>
      <c r="AD52" s="13" t="e">
        <f>IF(AND(AC52&gt;=#REF!,#REF!&gt;=AC52),VLOOKUP($N$5,'Material index'!$H$6:$BD$61,VLOOKUP(AC52,$A$5:$B$53,2,FALSE),FALSE),"")</f>
        <v>#REF!</v>
      </c>
    </row>
    <row r="53" spans="1:30">
      <c r="A53" s="15">
        <v>40513</v>
      </c>
      <c r="B53" s="16">
        <v>49</v>
      </c>
      <c r="C53" s="15"/>
      <c r="D53" s="13"/>
      <c r="E53" s="15" t="e">
        <f>IF(AND($A53&gt;=#REF!,#REF!&gt;=$A53),$A53,"")</f>
        <v>#REF!</v>
      </c>
      <c r="F53" s="13" t="e">
        <f>IF(AND(E53&gt;=#REF!,#REF!&gt;=E53),VLOOKUP($F$5,'Material index'!$H$6:$BD$61,VLOOKUP(E53,$A$5:$B$53,2,FALSE),FALSE),"")</f>
        <v>#REF!</v>
      </c>
      <c r="G53" s="15" t="e">
        <f>IF(AND($A53&gt;=#REF!,#REF!&gt;=$A53),$A53,"")</f>
        <v>#REF!</v>
      </c>
      <c r="H53" s="13" t="e">
        <f>IF(AND(G53&gt;=#REF!,#REF!&gt;=G53),VLOOKUP($H$5,'Material index'!$H$6:$BD$61,VLOOKUP(G53,$A$5:$B$53,2,FALSE),FALSE),"")</f>
        <v>#REF!</v>
      </c>
      <c r="I53" s="15" t="e">
        <f>IF(AND($A53&gt;=#REF!,#REF!&gt;=$A53),$A53,"")</f>
        <v>#REF!</v>
      </c>
      <c r="J53" s="13" t="e">
        <f>IF(AND(I53&gt;=#REF!,#REF!&gt;=I53),VLOOKUP($J$5,'Material index'!$H$6:$BD$61,VLOOKUP(I53,$A$5:$B$53,2,FALSE),FALSE),"")</f>
        <v>#REF!</v>
      </c>
      <c r="K53" s="15" t="e">
        <f>IF(AND($A53&gt;=#REF!,#REF!&gt;=$A53),$A53,"")</f>
        <v>#REF!</v>
      </c>
      <c r="L53" s="13" t="e">
        <f>IF(AND(K53&gt;=#REF!,#REF!&gt;=K53),VLOOKUP($L$5,'Material index'!$H$6:$BD$61,VLOOKUP(K53,$A$5:$B$53,2,FALSE),FALSE),"")</f>
        <v>#REF!</v>
      </c>
      <c r="M53" s="15" t="e">
        <f>IF(AND($A53&gt;=#REF!,#REF!&gt;=$A53),$A53,"")</f>
        <v>#REF!</v>
      </c>
      <c r="N53" s="13" t="e">
        <f>IF(AND(M53&gt;=#REF!,#REF!&gt;=M53),VLOOKUP($N$5,'Material index'!$H$6:$BD$61,VLOOKUP(M53,$A$5:$B$53,2,FALSE),FALSE),"")</f>
        <v>#REF!</v>
      </c>
      <c r="O53" s="14"/>
      <c r="P53" s="14"/>
      <c r="Q53" s="15">
        <v>40513</v>
      </c>
      <c r="R53" s="16">
        <v>49</v>
      </c>
      <c r="S53" s="15" t="e">
        <f>IF(AND($A53&gt;=#REF!,#REF!&gt;=$A53),$A53,"")</f>
        <v>#REF!</v>
      </c>
      <c r="T53" s="13" t="e">
        <f>IF(AND(S53&gt;=#REF!,#REF!&gt;=S53),VLOOKUP($D$5,'Material index'!$H$6:$BD$61,VLOOKUP(S53,$A$5:$B$53,2,FALSE),FALSE),"")</f>
        <v>#REF!</v>
      </c>
      <c r="U53" s="15" t="e">
        <f>IF(AND($A53&gt;=#REF!,#REF!&gt;=$A53),$A53,"")</f>
        <v>#REF!</v>
      </c>
      <c r="V53" s="13" t="e">
        <f>IF(AND(U53&gt;=#REF!,#REF!&gt;=U53),VLOOKUP($F$5,'Material index'!$H$6:$BD$61,VLOOKUP(U53,$A$5:$B$53,2,FALSE),FALSE),"")</f>
        <v>#REF!</v>
      </c>
      <c r="W53" s="15" t="e">
        <f>IF(AND($A53&gt;=#REF!,#REF!&gt;=$A53),$A53,"")</f>
        <v>#REF!</v>
      </c>
      <c r="X53" s="13" t="e">
        <f>IF(AND(W53&gt;=#REF!,#REF!&gt;=W53),VLOOKUP($H$5,'Material index'!$H$6:$BD$61,VLOOKUP(W53,$A$5:$B$53,2,FALSE),FALSE),"")</f>
        <v>#REF!</v>
      </c>
      <c r="Y53" s="15" t="e">
        <f>IF(AND($A53&gt;=#REF!,#REF!&gt;=$A53),$A53,"")</f>
        <v>#REF!</v>
      </c>
      <c r="Z53" s="13" t="e">
        <f>IF(AND(Y53&gt;=#REF!,#REF!&gt;=Y53),VLOOKUP($J$5,'Material index'!$H$6:$BD$61,VLOOKUP(Y53,$A$5:$B$53,2,FALSE),FALSE),"")</f>
        <v>#REF!</v>
      </c>
      <c r="AA53" s="15" t="e">
        <f>IF(AND($A53&gt;=#REF!,#REF!&gt;=$A53),$A53,"")</f>
        <v>#REF!</v>
      </c>
      <c r="AB53" s="13" t="e">
        <f>IF(AND(AA53&gt;=#REF!,#REF!&gt;=AA53),VLOOKUP($L$5,'Material index'!$H$6:$BD$61,VLOOKUP(AA53,$A$5:$B$53,2,FALSE),FALSE),"")</f>
        <v>#REF!</v>
      </c>
      <c r="AC53" s="15" t="e">
        <f>IF(AND($A53&gt;=#REF!,#REF!&gt;=$A53),$A53,"")</f>
        <v>#REF!</v>
      </c>
      <c r="AD53" s="13" t="e">
        <f>IF(AND(AC53&gt;=#REF!,#REF!&gt;=AC53),VLOOKUP($N$5,'Material index'!$H$6:$BD$61,VLOOKUP(AC53,$A$5:$B$53,2,FALSE),FALSE),"")</f>
        <v>#REF!</v>
      </c>
    </row>
    <row r="56" spans="1:30">
      <c r="D56" t="e">
        <f>VLOOKUP(C40,$A$5:$B$53,2,FALSE)</f>
        <v>#REF!</v>
      </c>
    </row>
    <row r="57" spans="1:30">
      <c r="D57" t="e">
        <f>VLOOKUP($D$5,'Material index'!$H$6:$AW$61,43,FALSE)</f>
        <v>#REF!</v>
      </c>
    </row>
  </sheetData>
  <sheetProtection password="EECE" sheet="1" objects="1" scenarios="1"/>
  <mergeCells count="12">
    <mergeCell ref="AC4:AD4"/>
    <mergeCell ref="C4:D4"/>
    <mergeCell ref="E4:F4"/>
    <mergeCell ref="G4:H4"/>
    <mergeCell ref="I4:J4"/>
    <mergeCell ref="K4:L4"/>
    <mergeCell ref="M4:N4"/>
    <mergeCell ref="S4:T4"/>
    <mergeCell ref="U4:V4"/>
    <mergeCell ref="W4:X4"/>
    <mergeCell ref="Y4:Z4"/>
    <mergeCell ref="AA4:AB4"/>
  </mergeCells>
  <phoneticPr fontId="11" type="noConversion"/>
  <dataValidations count="2">
    <dataValidation type="list" allowBlank="1" showInputMessage="1" showErrorMessage="1" sqref="AM22">
      <formula1>Start</formula1>
    </dataValidation>
    <dataValidation type="list" showInputMessage="1" showErrorMessage="1" sqref="AN22">
      <formula1>End</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dimension ref="A1:AS6"/>
  <sheetViews>
    <sheetView workbookViewId="0">
      <selection activeCell="AT1" sqref="AT1:BD1048576"/>
    </sheetView>
  </sheetViews>
  <sheetFormatPr defaultRowHeight="15"/>
  <cols>
    <col min="1" max="1" width="8.7109375" bestFit="1" customWidth="1"/>
    <col min="3" max="3" width="50.5703125" customWidth="1"/>
    <col min="4" max="4" width="78.42578125" bestFit="1" customWidth="1"/>
    <col min="6" max="6" width="9.7109375" bestFit="1" customWidth="1"/>
    <col min="7" max="7" width="9.42578125" bestFit="1" customWidth="1"/>
    <col min="8" max="8" width="27.28515625" bestFit="1" customWidth="1"/>
  </cols>
  <sheetData>
    <row r="1" spans="1:45" s="7" customFormat="1" ht="25.5">
      <c r="A1" s="56" t="s">
        <v>39</v>
      </c>
      <c r="B1" s="56" t="s">
        <v>22</v>
      </c>
      <c r="C1" s="57" t="s">
        <v>1</v>
      </c>
      <c r="D1" s="57" t="s">
        <v>6</v>
      </c>
      <c r="E1" s="58" t="s">
        <v>61</v>
      </c>
      <c r="F1" s="59" t="s">
        <v>27</v>
      </c>
      <c r="G1" s="58" t="s">
        <v>5</v>
      </c>
      <c r="H1" s="59" t="s">
        <v>38</v>
      </c>
      <c r="I1" s="60">
        <v>39083</v>
      </c>
      <c r="J1" s="60">
        <v>39114</v>
      </c>
      <c r="K1" s="60">
        <v>39142</v>
      </c>
      <c r="L1" s="60">
        <v>39173</v>
      </c>
      <c r="M1" s="60">
        <v>39203</v>
      </c>
      <c r="N1" s="60">
        <v>39234</v>
      </c>
      <c r="O1" s="60">
        <v>39264</v>
      </c>
      <c r="P1" s="60">
        <v>39295</v>
      </c>
      <c r="Q1" s="60">
        <v>39326</v>
      </c>
      <c r="R1" s="60">
        <v>39356</v>
      </c>
      <c r="S1" s="60">
        <v>39387</v>
      </c>
      <c r="T1" s="60">
        <v>39417</v>
      </c>
      <c r="U1" s="60">
        <v>39448</v>
      </c>
      <c r="V1" s="60">
        <v>39479</v>
      </c>
      <c r="W1" s="60">
        <v>39508</v>
      </c>
      <c r="X1" s="60">
        <v>39539</v>
      </c>
      <c r="Y1" s="60">
        <v>39569</v>
      </c>
      <c r="Z1" s="60">
        <v>39600</v>
      </c>
      <c r="AA1" s="60">
        <v>39630</v>
      </c>
      <c r="AB1" s="60">
        <v>39661</v>
      </c>
      <c r="AC1" s="60">
        <v>39692</v>
      </c>
      <c r="AD1" s="60">
        <v>39722</v>
      </c>
      <c r="AE1" s="60">
        <v>39753</v>
      </c>
      <c r="AF1" s="60">
        <v>39783</v>
      </c>
      <c r="AG1" s="60">
        <v>39814</v>
      </c>
      <c r="AH1" s="60">
        <v>39845</v>
      </c>
      <c r="AI1" s="60">
        <v>39873</v>
      </c>
      <c r="AJ1" s="60">
        <v>39904</v>
      </c>
      <c r="AK1" s="60">
        <v>39934</v>
      </c>
      <c r="AL1" s="60">
        <v>39965</v>
      </c>
      <c r="AM1" s="60">
        <v>39995</v>
      </c>
      <c r="AN1" s="60">
        <v>40026</v>
      </c>
      <c r="AO1" s="60">
        <v>40057</v>
      </c>
      <c r="AP1" s="60">
        <v>40087</v>
      </c>
      <c r="AQ1" s="60">
        <v>40118</v>
      </c>
      <c r="AR1" s="60">
        <v>40148</v>
      </c>
      <c r="AS1" s="60">
        <v>40179</v>
      </c>
    </row>
    <row r="2" spans="1:45" ht="18.75" customHeight="1">
      <c r="A2" s="172" t="s">
        <v>575</v>
      </c>
      <c r="B2" s="41" t="s">
        <v>578</v>
      </c>
      <c r="C2" s="161"/>
      <c r="D2" s="41" t="s">
        <v>580</v>
      </c>
      <c r="E2" s="62" t="s">
        <v>62</v>
      </c>
      <c r="F2" s="40" t="s">
        <v>582</v>
      </c>
      <c r="G2" s="39" t="s">
        <v>31</v>
      </c>
      <c r="H2" s="66" t="s">
        <v>584</v>
      </c>
      <c r="I2" s="41">
        <v>2501.2525000000001</v>
      </c>
      <c r="J2" s="41">
        <v>2471.6194999999998</v>
      </c>
      <c r="K2" s="41">
        <v>2485.7925</v>
      </c>
      <c r="L2" s="41">
        <v>2540.808</v>
      </c>
      <c r="M2" s="41">
        <v>2642.25</v>
      </c>
      <c r="N2" s="41">
        <v>2569.56</v>
      </c>
      <c r="O2" s="41">
        <v>2573.308</v>
      </c>
      <c r="P2" s="41">
        <v>2532.357</v>
      </c>
      <c r="Q2" s="41">
        <v>2549.61</v>
      </c>
      <c r="R2" s="41">
        <v>2480.5729999999999</v>
      </c>
      <c r="S2" s="41">
        <v>2421.6820000000002</v>
      </c>
      <c r="T2" s="41">
        <v>2525.201</v>
      </c>
      <c r="U2" s="41">
        <v>2600.6737499999999</v>
      </c>
      <c r="V2" s="41">
        <v>2735.7435</v>
      </c>
      <c r="W2" s="41">
        <v>2865.3750000000005</v>
      </c>
      <c r="X2" s="41">
        <v>2755.6061</v>
      </c>
      <c r="Y2" s="41">
        <v>2727.3021000000003</v>
      </c>
      <c r="Z2" s="41">
        <v>2808.0720000000001</v>
      </c>
      <c r="AA2" s="41">
        <v>2870.2755999999999</v>
      </c>
      <c r="AB2" s="41">
        <v>2726.0705000000003</v>
      </c>
      <c r="AC2" s="41">
        <v>2477.4841000000001</v>
      </c>
      <c r="AD2" s="41">
        <v>2125.29072</v>
      </c>
      <c r="AE2" s="41">
        <v>2016.8500000000001</v>
      </c>
      <c r="AF2" s="41">
        <v>1712.9717600000001</v>
      </c>
      <c r="AG2" s="41">
        <v>1767.15625</v>
      </c>
      <c r="AH2" s="41">
        <v>1748.4775</v>
      </c>
      <c r="AI2" s="41">
        <v>1840.3329999999999</v>
      </c>
      <c r="AJ2" s="41">
        <v>1989.0905999999998</v>
      </c>
      <c r="AK2" s="41">
        <v>1924.0236</v>
      </c>
      <c r="AL2" s="41">
        <v>1947.2831250000002</v>
      </c>
      <c r="AM2" s="41">
        <v>2090.3733999999999</v>
      </c>
      <c r="AN2" s="41">
        <v>2208.8099000000002</v>
      </c>
      <c r="AO2" s="41">
        <v>2165.1443999999997</v>
      </c>
      <c r="AP2" s="41">
        <v>2220.1531499999996</v>
      </c>
      <c r="AQ2" s="41">
        <v>2346.6932999999999</v>
      </c>
      <c r="AR2" s="41">
        <v>2463.6893249999998</v>
      </c>
      <c r="AS2" s="41">
        <v>2543.1041999999998</v>
      </c>
    </row>
    <row r="3" spans="1:45" ht="18.75" customHeight="1">
      <c r="A3" s="172" t="s">
        <v>576</v>
      </c>
      <c r="B3" s="41" t="s">
        <v>578</v>
      </c>
      <c r="C3" s="161"/>
      <c r="D3" s="41" t="s">
        <v>580</v>
      </c>
      <c r="E3" s="62" t="s">
        <v>62</v>
      </c>
      <c r="F3" s="40" t="s">
        <v>582</v>
      </c>
      <c r="G3" s="39" t="s">
        <v>31</v>
      </c>
      <c r="H3" s="66" t="s">
        <v>164</v>
      </c>
      <c r="I3" s="41">
        <v>7124.6824999999999</v>
      </c>
      <c r="J3" s="41">
        <v>6926.2149999999992</v>
      </c>
      <c r="K3" s="41">
        <v>7589.91</v>
      </c>
      <c r="L3" s="41">
        <v>8865.2879999999986</v>
      </c>
      <c r="M3" s="41">
        <v>8747.7000000000007</v>
      </c>
      <c r="N3" s="41">
        <v>8329.4385000000002</v>
      </c>
      <c r="O3" s="41">
        <v>8855.9840000000004</v>
      </c>
      <c r="P3" s="41">
        <v>8465.6284999999989</v>
      </c>
      <c r="Q3" s="41">
        <v>8680.91</v>
      </c>
      <c r="R3" s="41">
        <v>8848.4219999999987</v>
      </c>
      <c r="S3" s="41">
        <v>7885.1260000000002</v>
      </c>
      <c r="T3" s="41">
        <v>7699.1810000000005</v>
      </c>
      <c r="U3" s="41">
        <v>8323.5375000000004</v>
      </c>
      <c r="V3" s="41">
        <v>9121.9380000000001</v>
      </c>
      <c r="W3" s="41">
        <v>9372.2525000000005</v>
      </c>
      <c r="X3" s="41">
        <v>8944.4380999999994</v>
      </c>
      <c r="Y3" s="41">
        <v>8962.2636000000002</v>
      </c>
      <c r="Z3" s="41">
        <v>8867.5576000000001</v>
      </c>
      <c r="AA3" s="41">
        <v>9154.2675999999992</v>
      </c>
      <c r="AB3" s="41">
        <v>8483.7068000000017</v>
      </c>
      <c r="AC3" s="41">
        <v>8086.6194500000001</v>
      </c>
      <c r="AD3" s="41">
        <v>6168.9465599999994</v>
      </c>
      <c r="AE3" s="41">
        <v>5261.4116000000004</v>
      </c>
      <c r="AF3" s="41">
        <v>4521.3977300000006</v>
      </c>
      <c r="AG3" s="41">
        <v>4572.9974999999995</v>
      </c>
      <c r="AH3" s="41">
        <v>4063.1774999999998</v>
      </c>
      <c r="AI3" s="41">
        <v>4575.9274999999998</v>
      </c>
      <c r="AJ3" s="41">
        <v>5672.6459999999997</v>
      </c>
      <c r="AK3" s="41">
        <v>5526.9816000000001</v>
      </c>
      <c r="AL3" s="41">
        <v>5854.6725000000006</v>
      </c>
      <c r="AM3" s="41">
        <v>6128.9278999999997</v>
      </c>
      <c r="AN3" s="41">
        <v>7165.0744500000001</v>
      </c>
      <c r="AO3" s="41">
        <v>7099.0625499999996</v>
      </c>
      <c r="AP3" s="41">
        <v>7400.5104999999994</v>
      </c>
      <c r="AQ3" s="41">
        <v>8131.7425000000003</v>
      </c>
      <c r="AR3" s="41">
        <v>8316.9223499999989</v>
      </c>
      <c r="AS3" s="41">
        <v>8742.6767999999993</v>
      </c>
    </row>
    <row r="4" spans="1:45" ht="18.75" customHeight="1">
      <c r="A4" s="171" t="s">
        <v>10</v>
      </c>
      <c r="B4" s="37" t="s">
        <v>9</v>
      </c>
      <c r="C4" s="154" t="s">
        <v>23</v>
      </c>
      <c r="D4" s="37" t="s">
        <v>581</v>
      </c>
      <c r="E4" s="63" t="s">
        <v>64</v>
      </c>
      <c r="F4" s="37" t="s">
        <v>583</v>
      </c>
      <c r="G4" s="37" t="s">
        <v>31</v>
      </c>
      <c r="H4" s="67" t="s">
        <v>177</v>
      </c>
      <c r="I4" s="52">
        <v>1248</v>
      </c>
      <c r="J4" s="52">
        <v>1220</v>
      </c>
      <c r="K4" s="52">
        <v>1235</v>
      </c>
      <c r="L4" s="52">
        <v>1251</v>
      </c>
      <c r="M4" s="52">
        <v>1276</v>
      </c>
      <c r="N4" s="52">
        <v>1321</v>
      </c>
      <c r="O4" s="52">
        <v>1351</v>
      </c>
      <c r="P4" s="52">
        <v>1368</v>
      </c>
      <c r="Q4" s="52">
        <v>1361</v>
      </c>
      <c r="R4" s="52">
        <v>1350</v>
      </c>
      <c r="S4" s="52">
        <v>1390</v>
      </c>
      <c r="T4" s="52">
        <v>1420</v>
      </c>
      <c r="U4" s="52">
        <v>1443</v>
      </c>
      <c r="V4" s="52">
        <v>1468</v>
      </c>
      <c r="W4" s="52">
        <v>1510</v>
      </c>
      <c r="X4" s="52">
        <v>1543</v>
      </c>
      <c r="Y4" s="52">
        <v>1656</v>
      </c>
      <c r="Z4" s="52">
        <v>1934</v>
      </c>
      <c r="AA4" s="53">
        <v>1980</v>
      </c>
      <c r="AB4" s="52">
        <v>1723</v>
      </c>
      <c r="AC4" s="52">
        <v>1471</v>
      </c>
      <c r="AD4" s="52">
        <v>1005</v>
      </c>
      <c r="AE4" s="52">
        <v>678</v>
      </c>
      <c r="AF4" s="52">
        <v>750</v>
      </c>
      <c r="AG4" s="52">
        <v>786</v>
      </c>
      <c r="AH4" s="52">
        <v>878</v>
      </c>
      <c r="AI4" s="52">
        <v>898</v>
      </c>
      <c r="AJ4" s="52">
        <v>1049</v>
      </c>
      <c r="AK4" s="52">
        <v>1059</v>
      </c>
      <c r="AL4" s="52">
        <v>1093</v>
      </c>
      <c r="AM4" s="52">
        <v>1115</v>
      </c>
      <c r="AN4" s="52">
        <v>1159</v>
      </c>
      <c r="AO4" s="52">
        <v>1105</v>
      </c>
      <c r="AP4" s="52">
        <v>1054</v>
      </c>
      <c r="AQ4" s="52">
        <v>1131</v>
      </c>
      <c r="AR4" s="52">
        <v>1182</v>
      </c>
      <c r="AS4" s="52">
        <v>1273</v>
      </c>
    </row>
    <row r="5" spans="1:45" ht="38.25">
      <c r="A5" s="171" t="s">
        <v>577</v>
      </c>
      <c r="B5" s="41" t="s">
        <v>579</v>
      </c>
      <c r="C5" s="161"/>
      <c r="D5" s="41" t="s">
        <v>580</v>
      </c>
      <c r="E5" s="62" t="s">
        <v>62</v>
      </c>
      <c r="F5" s="41" t="s">
        <v>583</v>
      </c>
      <c r="G5" s="41" t="s">
        <v>31</v>
      </c>
      <c r="H5" s="66" t="s">
        <v>170</v>
      </c>
      <c r="I5" s="50">
        <v>4767.3500000000004</v>
      </c>
      <c r="J5" s="50">
        <v>4789.6099999999997</v>
      </c>
      <c r="K5" s="50">
        <v>5120.28</v>
      </c>
      <c r="L5" s="50">
        <v>5650.5599999999995</v>
      </c>
      <c r="M5" s="50">
        <v>5993</v>
      </c>
      <c r="N5" s="50">
        <v>6109.2599999999993</v>
      </c>
      <c r="O5" s="50">
        <v>5099.0599999999995</v>
      </c>
      <c r="P5" s="50">
        <v>4200.78</v>
      </c>
      <c r="Q5" s="50">
        <v>4335.8</v>
      </c>
      <c r="R5" s="50">
        <v>4548.9399999999996</v>
      </c>
      <c r="S5" s="50">
        <v>4664.08</v>
      </c>
      <c r="T5" s="50">
        <v>4698.68</v>
      </c>
      <c r="U5" s="50">
        <v>4434.6149999999998</v>
      </c>
      <c r="V5" s="50">
        <v>4510.6949999999997</v>
      </c>
      <c r="W5" s="50">
        <v>4570.4500000000007</v>
      </c>
      <c r="X5" s="50">
        <v>4885.1660000000002</v>
      </c>
      <c r="Y5" s="50">
        <v>4680.7080000000005</v>
      </c>
      <c r="Z5" s="50">
        <v>4440.6719999999996</v>
      </c>
      <c r="AA5" s="50">
        <v>4482.2879999999996</v>
      </c>
      <c r="AB5" s="50">
        <v>4224.313000000001</v>
      </c>
      <c r="AC5" s="50">
        <v>4234.1390000000001</v>
      </c>
      <c r="AD5" s="50">
        <v>3852.8447999999999</v>
      </c>
      <c r="AE5" s="50">
        <v>2977.6040000000003</v>
      </c>
      <c r="AF5" s="50">
        <v>2762.3862000000004</v>
      </c>
      <c r="AG5" s="50">
        <v>2768.85</v>
      </c>
      <c r="AH5" s="50">
        <v>2768.85</v>
      </c>
      <c r="AI5" s="50">
        <v>2314.6999999999998</v>
      </c>
      <c r="AJ5" s="50">
        <v>2433.2279999999996</v>
      </c>
      <c r="AK5" s="50">
        <v>2575.6379999999999</v>
      </c>
      <c r="AL5" s="50">
        <v>2894.3625000000002</v>
      </c>
      <c r="AM5" s="50">
        <v>3268.9569999999999</v>
      </c>
      <c r="AN5" s="50">
        <v>3444.395</v>
      </c>
      <c r="AO5" s="50">
        <v>3087.8244999999997</v>
      </c>
      <c r="AP5" s="50">
        <v>3065.8209999999999</v>
      </c>
      <c r="AQ5" s="50">
        <v>2911.0025000000001</v>
      </c>
      <c r="AR5" s="50">
        <v>0</v>
      </c>
      <c r="AS5" s="50">
        <v>0</v>
      </c>
    </row>
    <row r="6" spans="1:45" ht="28.5">
      <c r="A6" s="172" t="s">
        <v>21</v>
      </c>
      <c r="B6" s="45" t="s">
        <v>12</v>
      </c>
      <c r="C6" s="151" t="s">
        <v>25</v>
      </c>
      <c r="D6" s="150" t="s">
        <v>0</v>
      </c>
      <c r="E6" s="61" t="s">
        <v>5</v>
      </c>
      <c r="F6" s="44"/>
      <c r="G6" s="43" t="s">
        <v>15</v>
      </c>
      <c r="H6" s="65" t="s">
        <v>50</v>
      </c>
      <c r="I6" s="43">
        <v>0.1285</v>
      </c>
      <c r="J6" s="43">
        <v>0.12909999999999999</v>
      </c>
      <c r="K6" s="43">
        <v>0.1293</v>
      </c>
      <c r="L6" s="43">
        <v>0.12959999999999999</v>
      </c>
      <c r="M6" s="43">
        <v>0.13</v>
      </c>
      <c r="N6" s="43">
        <v>0.13109999999999999</v>
      </c>
      <c r="O6" s="43">
        <v>0.1321</v>
      </c>
      <c r="P6" s="43">
        <v>0.1321</v>
      </c>
      <c r="Q6" s="43">
        <v>0.13300000000000001</v>
      </c>
      <c r="R6" s="43">
        <v>0.13339999999999999</v>
      </c>
      <c r="S6" s="43">
        <v>0.1348</v>
      </c>
      <c r="T6" s="43">
        <v>0.1358</v>
      </c>
      <c r="U6" s="43">
        <v>0.13815</v>
      </c>
      <c r="V6" s="43">
        <v>0.13965</v>
      </c>
      <c r="W6" s="43">
        <v>0.14150000000000001</v>
      </c>
      <c r="X6" s="43">
        <v>0.14326</v>
      </c>
      <c r="Y6" s="43">
        <v>0.14358000000000001</v>
      </c>
      <c r="Z6" s="43">
        <v>0.14512</v>
      </c>
      <c r="AA6" s="43">
        <v>0.14648</v>
      </c>
      <c r="AB6" s="43">
        <v>0.14617000000000002</v>
      </c>
      <c r="AC6" s="43">
        <v>0.14651</v>
      </c>
      <c r="AD6" s="43">
        <v>0.14649599999999999</v>
      </c>
      <c r="AE6" s="43">
        <v>0.14668</v>
      </c>
      <c r="AF6" s="43">
        <v>0.14615800000000001</v>
      </c>
      <c r="AG6" s="43">
        <v>0.14649999999999999</v>
      </c>
      <c r="AH6" s="43">
        <v>0.14649999999999999</v>
      </c>
      <c r="AI6" s="43">
        <v>0.14649999999999999</v>
      </c>
      <c r="AJ6" s="43">
        <v>0.14657999999999999</v>
      </c>
      <c r="AK6" s="43">
        <v>0.14676</v>
      </c>
      <c r="AL6" s="43">
        <v>0.14655000000000001</v>
      </c>
      <c r="AM6" s="43">
        <v>0.14659</v>
      </c>
      <c r="AN6" s="43">
        <v>0.14657000000000001</v>
      </c>
      <c r="AO6" s="43">
        <v>0.14668999999999999</v>
      </c>
      <c r="AP6" s="43">
        <v>0.14668999999999999</v>
      </c>
      <c r="AQ6" s="43">
        <v>0.14665</v>
      </c>
      <c r="AR6" s="43">
        <v>0.14666999999999999</v>
      </c>
      <c r="AS6" s="43">
        <v>0.14663999999999999</v>
      </c>
    </row>
  </sheetData>
  <hyperlinks>
    <hyperlink ref="C4" r:id="rId1"/>
  </hyperlinks>
  <pageMargins left="0.7" right="0.7" top="0.75" bottom="0.75" header="0.3" footer="0.3"/>
  <legacyDrawing r:id="rId2"/>
</worksheet>
</file>

<file path=xl/worksheets/sheet6.xml><?xml version="1.0" encoding="utf-8"?>
<worksheet xmlns="http://schemas.openxmlformats.org/spreadsheetml/2006/main" xmlns:r="http://schemas.openxmlformats.org/officeDocument/2006/relationships">
  <dimension ref="A1:F45"/>
  <sheetViews>
    <sheetView workbookViewId="0">
      <selection activeCell="F9" sqref="F9:F45"/>
    </sheetView>
  </sheetViews>
  <sheetFormatPr defaultRowHeight="15"/>
  <cols>
    <col min="2" max="2" width="24.140625" customWidth="1"/>
    <col min="3" max="3" width="27.7109375" bestFit="1" customWidth="1"/>
    <col min="4" max="4" width="11.42578125" customWidth="1"/>
    <col min="5" max="5" width="31.7109375" bestFit="1" customWidth="1"/>
    <col min="6" max="6" width="59.140625" customWidth="1"/>
    <col min="7" max="7" width="23.140625" bestFit="1" customWidth="1"/>
    <col min="11" max="11" width="72.85546875" bestFit="1" customWidth="1"/>
  </cols>
  <sheetData>
    <row r="1" spans="1:6">
      <c r="A1" t="str">
        <f t="array" ref="A1:F45">TRANSPOSE(Data!A1:AS6)</f>
        <v>Material</v>
      </c>
      <c r="B1" t="str">
        <v>Alu ingot</v>
      </c>
      <c r="C1" t="str">
        <v>Copper</v>
      </c>
      <c r="D1" t="str">
        <v>PP Homo</v>
      </c>
      <c r="E1" t="str">
        <v xml:space="preserve">Coils 304(2B) 1,2mm </v>
      </c>
      <c r="F1" t="str">
        <v>RMB/USD</v>
      </c>
    </row>
    <row r="2" spans="1:6">
      <c r="A2" t="str">
        <v>Source</v>
      </c>
      <c r="B2" t="str">
        <v>SFE</v>
      </c>
      <c r="C2" t="str">
        <v>SFE</v>
      </c>
      <c r="D2" t="str">
        <v>ICIS</v>
      </c>
      <c r="E2" t="str">
        <v>BXGTD</v>
      </c>
      <c r="F2" t="str">
        <v>Oanda</v>
      </c>
    </row>
    <row r="3" spans="1:6">
      <c r="A3" t="str">
        <v>Link</v>
      </c>
      <c r="B3">
        <v>0</v>
      </c>
      <c r="C3">
        <v>0</v>
      </c>
      <c r="D3" t="str">
        <v>http://lil93nt/en/jobs/purchasing/common_data/Material_rates/Mat_Followup_Polypropylene_EN.xls</v>
      </c>
      <c r="E3">
        <v>0</v>
      </c>
      <c r="F3" t="str">
        <v>http://www.oanda.com/convert/fxhistory</v>
      </c>
    </row>
    <row r="4" spans="1:6">
      <c r="A4" t="str">
        <v>Data details</v>
      </c>
      <c r="B4" t="str">
        <v>x Exchange rate RMB/USD</v>
      </c>
      <c r="C4" t="str">
        <v>x Exchange rate RMB/USD</v>
      </c>
      <c r="D4" t="str">
        <v>Column AM - monthly AVG (Polypropylene Asia Pacific HOMO (China main port) S.E. Asia USD/MT)</v>
      </c>
      <c r="E4" t="str">
        <v>x Exchange rate RMB/USD</v>
      </c>
      <c r="F4" t="str">
        <v>The AVERAGE rate is the average of all the ASK prices for the given time period.</v>
      </c>
    </row>
    <row r="5" spans="1:6">
      <c r="A5" t="str">
        <v>Material type</v>
      </c>
      <c r="B5" t="str">
        <v>Metal</v>
      </c>
      <c r="C5" t="str">
        <v>Metal</v>
      </c>
      <c r="D5" t="str">
        <v>Plastic</v>
      </c>
      <c r="E5" t="str">
        <v>Metal</v>
      </c>
      <c r="F5" t="str">
        <v>Currency</v>
      </c>
    </row>
    <row r="6" spans="1:6">
      <c r="A6" t="str">
        <v>Zone</v>
      </c>
      <c r="B6" t="str">
        <v>Shanghai</v>
      </c>
      <c r="C6" t="str">
        <v>Shanghai</v>
      </c>
      <c r="D6" t="str">
        <v>China</v>
      </c>
      <c r="E6" t="str">
        <v>China</v>
      </c>
      <c r="F6">
        <v>0</v>
      </c>
    </row>
    <row r="7" spans="1:6">
      <c r="A7" t="str">
        <v>Currency</v>
      </c>
      <c r="B7" t="str">
        <v>USD/MT</v>
      </c>
      <c r="C7" t="str">
        <v>USD/MT</v>
      </c>
      <c r="D7" t="str">
        <v>USD/MT</v>
      </c>
      <c r="E7" t="str">
        <v>USD/MT</v>
      </c>
      <c r="F7" t="str">
        <v>USD</v>
      </c>
    </row>
    <row r="8" spans="1:6">
      <c r="A8" t="str">
        <v>Name</v>
      </c>
      <c r="B8" t="str">
        <v>Metal - Alu ingot - CN (USD/T)</v>
      </c>
      <c r="C8" t="str">
        <v>Metal - Copper - CN (USD/T)</v>
      </c>
      <c r="D8" t="str">
        <v>Plastic - PP Homo - CN (USD/T)</v>
      </c>
      <c r="E8" t="str">
        <v>Metal - SS 304 1,2mm - CN (USD/T)</v>
      </c>
      <c r="F8" t="str">
        <v>Currency - RMB/USD (USD)</v>
      </c>
    </row>
    <row r="9" spans="1:6">
      <c r="A9">
        <v>39083</v>
      </c>
      <c r="B9">
        <v>2501.2525000000001</v>
      </c>
      <c r="C9">
        <v>7124.6824999999999</v>
      </c>
      <c r="D9">
        <v>1248</v>
      </c>
      <c r="E9">
        <v>4767.3500000000004</v>
      </c>
      <c r="F9">
        <v>0.1285</v>
      </c>
    </row>
    <row r="10" spans="1:6">
      <c r="A10">
        <v>39114</v>
      </c>
      <c r="B10">
        <v>2471.6194999999998</v>
      </c>
      <c r="C10">
        <v>6926.2149999999992</v>
      </c>
      <c r="D10">
        <v>1220</v>
      </c>
      <c r="E10">
        <v>4789.6099999999997</v>
      </c>
      <c r="F10">
        <v>0.12909999999999999</v>
      </c>
    </row>
    <row r="11" spans="1:6">
      <c r="A11">
        <v>39142</v>
      </c>
      <c r="B11">
        <v>2485.7925</v>
      </c>
      <c r="C11">
        <v>7589.91</v>
      </c>
      <c r="D11">
        <v>1235</v>
      </c>
      <c r="E11">
        <v>5120.28</v>
      </c>
      <c r="F11">
        <v>0.1293</v>
      </c>
    </row>
    <row r="12" spans="1:6">
      <c r="A12">
        <v>39173</v>
      </c>
      <c r="B12">
        <v>2540.808</v>
      </c>
      <c r="C12">
        <v>8865.2879999999986</v>
      </c>
      <c r="D12">
        <v>1251</v>
      </c>
      <c r="E12">
        <v>5650.5599999999995</v>
      </c>
      <c r="F12">
        <v>0.12959999999999999</v>
      </c>
    </row>
    <row r="13" spans="1:6">
      <c r="A13">
        <v>39203</v>
      </c>
      <c r="B13">
        <v>2642.25</v>
      </c>
      <c r="C13">
        <v>8747.7000000000007</v>
      </c>
      <c r="D13">
        <v>1276</v>
      </c>
      <c r="E13">
        <v>5993</v>
      </c>
      <c r="F13">
        <v>0.13</v>
      </c>
    </row>
    <row r="14" spans="1:6">
      <c r="A14">
        <v>39234</v>
      </c>
      <c r="B14">
        <v>2569.56</v>
      </c>
      <c r="C14">
        <v>8329.4385000000002</v>
      </c>
      <c r="D14">
        <v>1321</v>
      </c>
      <c r="E14">
        <v>6109.2599999999993</v>
      </c>
      <c r="F14">
        <v>0.13109999999999999</v>
      </c>
    </row>
    <row r="15" spans="1:6">
      <c r="A15">
        <v>39264</v>
      </c>
      <c r="B15">
        <v>2573.308</v>
      </c>
      <c r="C15">
        <v>8855.9840000000004</v>
      </c>
      <c r="D15">
        <v>1351</v>
      </c>
      <c r="E15">
        <v>5099.0599999999995</v>
      </c>
      <c r="F15">
        <v>0.1321</v>
      </c>
    </row>
    <row r="16" spans="1:6">
      <c r="A16">
        <v>39295</v>
      </c>
      <c r="B16">
        <v>2532.357</v>
      </c>
      <c r="C16">
        <v>8465.6284999999989</v>
      </c>
      <c r="D16">
        <v>1368</v>
      </c>
      <c r="E16">
        <v>4200.78</v>
      </c>
      <c r="F16">
        <v>0.1321</v>
      </c>
    </row>
    <row r="17" spans="1:6">
      <c r="A17">
        <v>39326</v>
      </c>
      <c r="B17">
        <v>2549.61</v>
      </c>
      <c r="C17">
        <v>8680.91</v>
      </c>
      <c r="D17">
        <v>1361</v>
      </c>
      <c r="E17">
        <v>4335.8</v>
      </c>
      <c r="F17">
        <v>0.13300000000000001</v>
      </c>
    </row>
    <row r="18" spans="1:6">
      <c r="A18">
        <v>39356</v>
      </c>
      <c r="B18">
        <v>2480.5729999999999</v>
      </c>
      <c r="C18">
        <v>8848.4219999999987</v>
      </c>
      <c r="D18">
        <v>1350</v>
      </c>
      <c r="E18">
        <v>4548.9399999999996</v>
      </c>
      <c r="F18">
        <v>0.13339999999999999</v>
      </c>
    </row>
    <row r="19" spans="1:6">
      <c r="A19">
        <v>39387</v>
      </c>
      <c r="B19">
        <v>2421.6820000000002</v>
      </c>
      <c r="C19">
        <v>7885.1260000000002</v>
      </c>
      <c r="D19">
        <v>1390</v>
      </c>
      <c r="E19">
        <v>4664.08</v>
      </c>
      <c r="F19">
        <v>0.1348</v>
      </c>
    </row>
    <row r="20" spans="1:6">
      <c r="A20">
        <v>39417</v>
      </c>
      <c r="B20">
        <v>2525.201</v>
      </c>
      <c r="C20">
        <v>7699.1810000000005</v>
      </c>
      <c r="D20">
        <v>1420</v>
      </c>
      <c r="E20">
        <v>4698.68</v>
      </c>
      <c r="F20">
        <v>0.1358</v>
      </c>
    </row>
    <row r="21" spans="1:6">
      <c r="A21">
        <v>39448</v>
      </c>
      <c r="B21">
        <v>2600.6737499999999</v>
      </c>
      <c r="C21">
        <v>8323.5375000000004</v>
      </c>
      <c r="D21">
        <v>1443</v>
      </c>
      <c r="E21">
        <v>4434.6149999999998</v>
      </c>
      <c r="F21">
        <v>0.13815</v>
      </c>
    </row>
    <row r="22" spans="1:6">
      <c r="A22">
        <v>39479</v>
      </c>
      <c r="B22">
        <v>2735.7435</v>
      </c>
      <c r="C22">
        <v>9121.9380000000001</v>
      </c>
      <c r="D22">
        <v>1468</v>
      </c>
      <c r="E22">
        <v>4510.6949999999997</v>
      </c>
      <c r="F22">
        <v>0.13965</v>
      </c>
    </row>
    <row r="23" spans="1:6">
      <c r="A23">
        <v>39508</v>
      </c>
      <c r="B23">
        <v>2865.3750000000005</v>
      </c>
      <c r="C23">
        <v>9372.2525000000005</v>
      </c>
      <c r="D23">
        <v>1510</v>
      </c>
      <c r="E23">
        <v>4570.4500000000007</v>
      </c>
      <c r="F23">
        <v>0.14150000000000001</v>
      </c>
    </row>
    <row r="24" spans="1:6">
      <c r="A24">
        <v>39539</v>
      </c>
      <c r="B24">
        <v>2755.6061</v>
      </c>
      <c r="C24">
        <v>8944.4380999999994</v>
      </c>
      <c r="D24">
        <v>1543</v>
      </c>
      <c r="E24">
        <v>4885.1660000000002</v>
      </c>
      <c r="F24">
        <v>0.14326</v>
      </c>
    </row>
    <row r="25" spans="1:6">
      <c r="A25">
        <v>39569</v>
      </c>
      <c r="B25">
        <v>2727.3021000000003</v>
      </c>
      <c r="C25">
        <v>8962.2636000000002</v>
      </c>
      <c r="D25">
        <v>1656</v>
      </c>
      <c r="E25">
        <v>4680.7080000000005</v>
      </c>
      <c r="F25">
        <v>0.14358000000000001</v>
      </c>
    </row>
    <row r="26" spans="1:6">
      <c r="A26">
        <v>39600</v>
      </c>
      <c r="B26">
        <v>2808.0720000000001</v>
      </c>
      <c r="C26">
        <v>8867.5576000000001</v>
      </c>
      <c r="D26">
        <v>1934</v>
      </c>
      <c r="E26">
        <v>4440.6719999999996</v>
      </c>
      <c r="F26">
        <v>0.14512</v>
      </c>
    </row>
    <row r="27" spans="1:6">
      <c r="A27">
        <v>39630</v>
      </c>
      <c r="B27">
        <v>2870.2755999999999</v>
      </c>
      <c r="C27">
        <v>9154.2675999999992</v>
      </c>
      <c r="D27">
        <v>1980</v>
      </c>
      <c r="E27">
        <v>4482.2879999999996</v>
      </c>
      <c r="F27">
        <v>0.14648</v>
      </c>
    </row>
    <row r="28" spans="1:6">
      <c r="A28">
        <v>39661</v>
      </c>
      <c r="B28">
        <v>2726.0705000000003</v>
      </c>
      <c r="C28">
        <v>8483.7068000000017</v>
      </c>
      <c r="D28">
        <v>1723</v>
      </c>
      <c r="E28">
        <v>4224.313000000001</v>
      </c>
      <c r="F28">
        <v>0.14617000000000002</v>
      </c>
    </row>
    <row r="29" spans="1:6">
      <c r="A29">
        <v>39692</v>
      </c>
      <c r="B29">
        <v>2477.4841000000001</v>
      </c>
      <c r="C29">
        <v>8086.6194500000001</v>
      </c>
      <c r="D29">
        <v>1471</v>
      </c>
      <c r="E29">
        <v>4234.1390000000001</v>
      </c>
      <c r="F29">
        <v>0.14651</v>
      </c>
    </row>
    <row r="30" spans="1:6">
      <c r="A30">
        <v>39722</v>
      </c>
      <c r="B30">
        <v>2125.29072</v>
      </c>
      <c r="C30">
        <v>6168.9465599999994</v>
      </c>
      <c r="D30">
        <v>1005</v>
      </c>
      <c r="E30">
        <v>3852.8447999999999</v>
      </c>
      <c r="F30">
        <v>0.14649599999999999</v>
      </c>
    </row>
    <row r="31" spans="1:6">
      <c r="A31">
        <v>39753</v>
      </c>
      <c r="B31">
        <v>2016.8500000000001</v>
      </c>
      <c r="C31">
        <v>5261.4116000000004</v>
      </c>
      <c r="D31">
        <v>678</v>
      </c>
      <c r="E31">
        <v>2977.6040000000003</v>
      </c>
      <c r="F31">
        <v>0.14668</v>
      </c>
    </row>
    <row r="32" spans="1:6">
      <c r="A32">
        <v>39783</v>
      </c>
      <c r="B32">
        <v>1712.9717600000001</v>
      </c>
      <c r="C32">
        <v>4521.3977300000006</v>
      </c>
      <c r="D32">
        <v>750</v>
      </c>
      <c r="E32">
        <v>2762.3862000000004</v>
      </c>
      <c r="F32">
        <v>0.14615800000000001</v>
      </c>
    </row>
    <row r="33" spans="1:6">
      <c r="A33">
        <v>39814</v>
      </c>
      <c r="B33">
        <v>1767.15625</v>
      </c>
      <c r="C33">
        <v>4572.9974999999995</v>
      </c>
      <c r="D33">
        <v>786</v>
      </c>
      <c r="E33">
        <v>2768.85</v>
      </c>
      <c r="F33">
        <v>0.14649999999999999</v>
      </c>
    </row>
    <row r="34" spans="1:6">
      <c r="A34">
        <v>39845</v>
      </c>
      <c r="B34">
        <v>1748.4775</v>
      </c>
      <c r="C34">
        <v>4063.1774999999998</v>
      </c>
      <c r="D34">
        <v>878</v>
      </c>
      <c r="E34">
        <v>2768.85</v>
      </c>
      <c r="F34">
        <v>0.14649999999999999</v>
      </c>
    </row>
    <row r="35" spans="1:6">
      <c r="A35">
        <v>39873</v>
      </c>
      <c r="B35">
        <v>1840.3329999999999</v>
      </c>
      <c r="C35">
        <v>4575.9274999999998</v>
      </c>
      <c r="D35">
        <v>898</v>
      </c>
      <c r="E35">
        <v>2314.6999999999998</v>
      </c>
      <c r="F35">
        <v>0.14649999999999999</v>
      </c>
    </row>
    <row r="36" spans="1:6">
      <c r="A36">
        <v>39904</v>
      </c>
      <c r="B36">
        <v>1989.0905999999998</v>
      </c>
      <c r="C36">
        <v>5672.6459999999997</v>
      </c>
      <c r="D36">
        <v>1049</v>
      </c>
      <c r="E36">
        <v>2433.2279999999996</v>
      </c>
      <c r="F36">
        <v>0.14657999999999999</v>
      </c>
    </row>
    <row r="37" spans="1:6">
      <c r="A37">
        <v>39934</v>
      </c>
      <c r="B37">
        <v>1924.0236</v>
      </c>
      <c r="C37">
        <v>5526.9816000000001</v>
      </c>
      <c r="D37">
        <v>1059</v>
      </c>
      <c r="E37">
        <v>2575.6379999999999</v>
      </c>
      <c r="F37">
        <v>0.14676</v>
      </c>
    </row>
    <row r="38" spans="1:6">
      <c r="A38">
        <v>39965</v>
      </c>
      <c r="B38">
        <v>1947.2831250000002</v>
      </c>
      <c r="C38">
        <v>5854.6725000000006</v>
      </c>
      <c r="D38">
        <v>1093</v>
      </c>
      <c r="E38">
        <v>2894.3625000000002</v>
      </c>
      <c r="F38">
        <v>0.14655000000000001</v>
      </c>
    </row>
    <row r="39" spans="1:6">
      <c r="A39">
        <v>39995</v>
      </c>
      <c r="B39">
        <v>2090.3733999999999</v>
      </c>
      <c r="C39">
        <v>6128.9278999999997</v>
      </c>
      <c r="D39">
        <v>1115</v>
      </c>
      <c r="E39">
        <v>3268.9569999999999</v>
      </c>
      <c r="F39">
        <v>0.14659</v>
      </c>
    </row>
    <row r="40" spans="1:6">
      <c r="A40">
        <v>40026</v>
      </c>
      <c r="B40">
        <v>2208.8099000000002</v>
      </c>
      <c r="C40">
        <v>7165.0744500000001</v>
      </c>
      <c r="D40">
        <v>1159</v>
      </c>
      <c r="E40">
        <v>3444.395</v>
      </c>
      <c r="F40">
        <v>0.14657000000000001</v>
      </c>
    </row>
    <row r="41" spans="1:6">
      <c r="A41">
        <v>40057</v>
      </c>
      <c r="B41">
        <v>2165.1443999999997</v>
      </c>
      <c r="C41">
        <v>7099.0625499999996</v>
      </c>
      <c r="D41">
        <v>1105</v>
      </c>
      <c r="E41">
        <v>3087.8244999999997</v>
      </c>
      <c r="F41">
        <v>0.14668999999999999</v>
      </c>
    </row>
    <row r="42" spans="1:6">
      <c r="A42">
        <v>40087</v>
      </c>
      <c r="B42">
        <v>2220.1531499999996</v>
      </c>
      <c r="C42">
        <v>7400.5104999999994</v>
      </c>
      <c r="D42">
        <v>1054</v>
      </c>
      <c r="E42">
        <v>3065.8209999999999</v>
      </c>
      <c r="F42">
        <v>0.14668999999999999</v>
      </c>
    </row>
    <row r="43" spans="1:6">
      <c r="A43">
        <v>40118</v>
      </c>
      <c r="B43">
        <v>2346.6932999999999</v>
      </c>
      <c r="C43">
        <v>8131.7425000000003</v>
      </c>
      <c r="D43">
        <v>1131</v>
      </c>
      <c r="E43">
        <v>2911.0025000000001</v>
      </c>
      <c r="F43">
        <v>0.14665</v>
      </c>
    </row>
    <row r="44" spans="1:6">
      <c r="A44">
        <v>40148</v>
      </c>
      <c r="B44">
        <v>2463.6893249999998</v>
      </c>
      <c r="C44">
        <v>8316.9223499999989</v>
      </c>
      <c r="D44">
        <v>1182</v>
      </c>
      <c r="E44">
        <v>0</v>
      </c>
      <c r="F44">
        <v>0.14666999999999999</v>
      </c>
    </row>
    <row r="45" spans="1:6">
      <c r="A45">
        <v>40179</v>
      </c>
      <c r="B45">
        <v>2543.1041999999998</v>
      </c>
      <c r="C45">
        <v>8742.6767999999993</v>
      </c>
      <c r="D45">
        <v>1273</v>
      </c>
      <c r="E45">
        <v>0</v>
      </c>
      <c r="F45">
        <v>0.14663999999999999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dimension ref="A1:U44"/>
  <sheetViews>
    <sheetView workbookViewId="0">
      <pane ySplit="1" topLeftCell="A2" activePane="bottomLeft" state="frozen"/>
      <selection pane="bottomLeft" activeCell="E28" sqref="E28"/>
    </sheetView>
  </sheetViews>
  <sheetFormatPr defaultRowHeight="15"/>
  <cols>
    <col min="1" max="1" width="12.85546875" bestFit="1" customWidth="1"/>
    <col min="2" max="2" width="20.28515625" customWidth="1"/>
    <col min="3" max="3" width="24.140625" style="170" customWidth="1"/>
    <col min="4" max="5" width="27.7109375" customWidth="1"/>
    <col min="6" max="6" width="27.140625" style="170" customWidth="1"/>
    <col min="7" max="8" width="26.140625" customWidth="1"/>
    <col min="9" max="9" width="27.140625" style="170" customWidth="1"/>
    <col min="10" max="11" width="22" customWidth="1"/>
    <col min="12" max="12" width="27.140625" style="170" customWidth="1"/>
    <col min="13" max="14" width="31.7109375" customWidth="1"/>
    <col min="15" max="15" width="27.140625" style="170" customWidth="1"/>
    <col min="16" max="16" width="7.7109375" hidden="1" customWidth="1"/>
    <col min="17" max="17" width="27.140625" style="170" hidden="1" customWidth="1"/>
    <col min="18" max="18" width="14" bestFit="1" customWidth="1"/>
    <col min="19" max="19" width="13.28515625" style="170" bestFit="1" customWidth="1"/>
    <col min="20" max="20" width="10" hidden="1" customWidth="1"/>
    <col min="21" max="21" width="27.140625" style="170" hidden="1" customWidth="1"/>
  </cols>
  <sheetData>
    <row r="1" spans="1:21">
      <c r="A1" t="s">
        <v>39</v>
      </c>
      <c r="B1" s="170" t="s">
        <v>21</v>
      </c>
      <c r="C1" s="170" t="s">
        <v>589</v>
      </c>
      <c r="D1" s="170" t="s">
        <v>575</v>
      </c>
      <c r="E1" s="170"/>
      <c r="F1" s="170" t="s">
        <v>585</v>
      </c>
      <c r="G1" s="170" t="s">
        <v>576</v>
      </c>
      <c r="H1" s="170" t="s">
        <v>576</v>
      </c>
      <c r="I1" s="170" t="s">
        <v>586</v>
      </c>
      <c r="J1" s="170" t="s">
        <v>10</v>
      </c>
      <c r="K1" s="170" t="s">
        <v>10</v>
      </c>
      <c r="L1" s="170" t="s">
        <v>587</v>
      </c>
      <c r="M1" s="170" t="s">
        <v>577</v>
      </c>
      <c r="N1" s="170" t="s">
        <v>577</v>
      </c>
      <c r="O1" s="170" t="s">
        <v>588</v>
      </c>
      <c r="P1" t="s">
        <v>592</v>
      </c>
      <c r="Q1" s="170" t="s">
        <v>590</v>
      </c>
      <c r="R1" t="s">
        <v>591</v>
      </c>
      <c r="S1" s="170" t="s">
        <v>590</v>
      </c>
      <c r="T1" t="s">
        <v>593</v>
      </c>
      <c r="U1" s="170" t="s">
        <v>590</v>
      </c>
    </row>
    <row r="2" spans="1:21">
      <c r="A2" t="s">
        <v>22</v>
      </c>
      <c r="B2" t="s">
        <v>12</v>
      </c>
      <c r="D2" t="s">
        <v>578</v>
      </c>
      <c r="G2" t="s">
        <v>578</v>
      </c>
      <c r="H2" t="s">
        <v>578</v>
      </c>
      <c r="J2" t="s">
        <v>9</v>
      </c>
      <c r="K2" t="s">
        <v>9</v>
      </c>
      <c r="M2" t="s">
        <v>579</v>
      </c>
      <c r="N2" t="s">
        <v>579</v>
      </c>
    </row>
    <row r="3" spans="1:21">
      <c r="A3" t="s">
        <v>6</v>
      </c>
      <c r="B3" t="s">
        <v>0</v>
      </c>
      <c r="D3" t="s">
        <v>580</v>
      </c>
      <c r="G3" t="s">
        <v>580</v>
      </c>
      <c r="H3" t="s">
        <v>580</v>
      </c>
      <c r="J3" t="s">
        <v>581</v>
      </c>
      <c r="K3" t="s">
        <v>581</v>
      </c>
      <c r="M3" t="s">
        <v>580</v>
      </c>
      <c r="N3" t="s">
        <v>580</v>
      </c>
    </row>
    <row r="4" spans="1:21">
      <c r="A4" t="s">
        <v>61</v>
      </c>
      <c r="B4" t="s">
        <v>5</v>
      </c>
      <c r="D4" t="s">
        <v>62</v>
      </c>
      <c r="G4" t="s">
        <v>62</v>
      </c>
      <c r="H4" t="s">
        <v>62</v>
      </c>
      <c r="J4" t="s">
        <v>64</v>
      </c>
      <c r="K4" t="s">
        <v>64</v>
      </c>
      <c r="M4" t="s">
        <v>62</v>
      </c>
      <c r="N4" t="s">
        <v>62</v>
      </c>
    </row>
    <row r="5" spans="1:21">
      <c r="A5" t="s">
        <v>27</v>
      </c>
      <c r="B5">
        <v>0</v>
      </c>
      <c r="D5" t="s">
        <v>582</v>
      </c>
      <c r="G5" t="s">
        <v>582</v>
      </c>
      <c r="H5" t="s">
        <v>582</v>
      </c>
      <c r="J5" t="s">
        <v>583</v>
      </c>
      <c r="K5" t="s">
        <v>583</v>
      </c>
      <c r="M5" t="s">
        <v>583</v>
      </c>
      <c r="N5" t="s">
        <v>583</v>
      </c>
    </row>
    <row r="6" spans="1:21">
      <c r="A6" t="s">
        <v>5</v>
      </c>
      <c r="B6" t="s">
        <v>15</v>
      </c>
      <c r="D6" t="s">
        <v>31</v>
      </c>
      <c r="G6" t="s">
        <v>31</v>
      </c>
      <c r="H6" t="s">
        <v>31</v>
      </c>
      <c r="J6" t="s">
        <v>31</v>
      </c>
      <c r="K6" t="s">
        <v>31</v>
      </c>
      <c r="M6" t="s">
        <v>31</v>
      </c>
      <c r="N6" t="s">
        <v>31</v>
      </c>
    </row>
    <row r="7" spans="1:21">
      <c r="A7" t="s">
        <v>38</v>
      </c>
      <c r="B7" t="s">
        <v>50</v>
      </c>
      <c r="D7" t="s">
        <v>584</v>
      </c>
      <c r="E7" t="s">
        <v>13</v>
      </c>
      <c r="G7" t="s">
        <v>164</v>
      </c>
      <c r="H7" t="s">
        <v>164</v>
      </c>
      <c r="J7" t="s">
        <v>177</v>
      </c>
      <c r="K7" t="s">
        <v>177</v>
      </c>
      <c r="M7" t="s">
        <v>170</v>
      </c>
      <c r="N7" t="s">
        <v>170</v>
      </c>
    </row>
    <row r="8" spans="1:21" hidden="1">
      <c r="A8" s="169">
        <v>39083</v>
      </c>
      <c r="B8">
        <v>0.1285</v>
      </c>
      <c r="C8" s="170">
        <v>100</v>
      </c>
      <c r="D8">
        <v>2501.2525000000001</v>
      </c>
      <c r="F8" s="170">
        <v>100</v>
      </c>
      <c r="G8">
        <v>7124.6824999999999</v>
      </c>
      <c r="H8">
        <v>7124.6824999999999</v>
      </c>
      <c r="I8" s="170">
        <v>100</v>
      </c>
      <c r="J8">
        <v>1248</v>
      </c>
      <c r="K8">
        <v>1248</v>
      </c>
      <c r="L8" s="170">
        <v>100</v>
      </c>
      <c r="M8">
        <v>4767.3500000000004</v>
      </c>
      <c r="N8">
        <v>4767.3500000000004</v>
      </c>
      <c r="O8" s="170">
        <v>100</v>
      </c>
    </row>
    <row r="9" spans="1:21" hidden="1">
      <c r="A9" s="169">
        <v>39114</v>
      </c>
      <c r="B9">
        <v>0.12909999999999999</v>
      </c>
      <c r="C9" s="170">
        <f t="shared" ref="C9:C18" si="0">B9/$B$8*100</f>
        <v>100.46692607003891</v>
      </c>
      <c r="D9">
        <v>2471.6194999999998</v>
      </c>
      <c r="F9" s="170">
        <f t="shared" ref="F9:F18" si="1">D9/$D$8*100</f>
        <v>98.815273547952458</v>
      </c>
      <c r="G9">
        <v>6926.2149999999992</v>
      </c>
      <c r="H9">
        <v>6926.2149999999992</v>
      </c>
      <c r="I9" s="170">
        <f t="shared" ref="I9:I18" si="2">G9/$G$8*100</f>
        <v>97.214367096358316</v>
      </c>
      <c r="J9">
        <v>1220</v>
      </c>
      <c r="K9">
        <v>1220</v>
      </c>
      <c r="L9" s="170">
        <f t="shared" ref="L9:L18" si="3">J9/$J$8*100</f>
        <v>97.756410256410248</v>
      </c>
      <c r="M9">
        <v>4789.6099999999997</v>
      </c>
      <c r="N9">
        <v>4789.6099999999997</v>
      </c>
      <c r="O9" s="170">
        <f t="shared" ref="O9:O18" si="4">M9/$M$8*100</f>
        <v>100.46692607003888</v>
      </c>
    </row>
    <row r="10" spans="1:21" hidden="1">
      <c r="A10" s="169">
        <v>39142</v>
      </c>
      <c r="B10">
        <v>0.1293</v>
      </c>
      <c r="C10" s="170">
        <f t="shared" si="0"/>
        <v>100.62256809338521</v>
      </c>
      <c r="D10">
        <v>2485.7925</v>
      </c>
      <c r="F10" s="170">
        <f t="shared" si="1"/>
        <v>99.38190966325871</v>
      </c>
      <c r="G10">
        <v>7589.91</v>
      </c>
      <c r="H10">
        <v>7589.91</v>
      </c>
      <c r="I10" s="170">
        <f t="shared" si="2"/>
        <v>106.52979974897127</v>
      </c>
      <c r="J10">
        <v>1235</v>
      </c>
      <c r="K10">
        <v>1235</v>
      </c>
      <c r="L10" s="170">
        <f t="shared" si="3"/>
        <v>98.958333333333343</v>
      </c>
      <c r="M10">
        <v>5120.28</v>
      </c>
      <c r="N10">
        <v>5120.28</v>
      </c>
      <c r="O10" s="170">
        <f t="shared" si="4"/>
        <v>107.40306459563487</v>
      </c>
    </row>
    <row r="11" spans="1:21" hidden="1">
      <c r="A11" s="169">
        <v>39173</v>
      </c>
      <c r="B11">
        <v>0.12959999999999999</v>
      </c>
      <c r="C11" s="170">
        <f t="shared" si="0"/>
        <v>100.85603112840467</v>
      </c>
      <c r="D11">
        <v>2540.808</v>
      </c>
      <c r="F11" s="170">
        <f t="shared" si="1"/>
        <v>101.58142770471994</v>
      </c>
      <c r="G11">
        <v>8865.2879999999986</v>
      </c>
      <c r="H11">
        <v>8865.2879999999986</v>
      </c>
      <c r="I11" s="170">
        <f t="shared" si="2"/>
        <v>124.43063954077951</v>
      </c>
      <c r="J11">
        <v>1251</v>
      </c>
      <c r="K11">
        <v>1251</v>
      </c>
      <c r="L11" s="170">
        <f t="shared" si="3"/>
        <v>100.24038461538463</v>
      </c>
      <c r="M11">
        <v>5650.5599999999995</v>
      </c>
      <c r="N11">
        <v>5650.5599999999995</v>
      </c>
      <c r="O11" s="170">
        <f t="shared" si="4"/>
        <v>118.52622526141357</v>
      </c>
    </row>
    <row r="12" spans="1:21" hidden="1">
      <c r="A12" s="169">
        <v>39203</v>
      </c>
      <c r="B12">
        <v>0.13</v>
      </c>
      <c r="C12" s="170">
        <f t="shared" si="0"/>
        <v>101.16731517509727</v>
      </c>
      <c r="D12">
        <v>2642.25</v>
      </c>
      <c r="F12" s="170">
        <f t="shared" si="1"/>
        <v>105.63707582501168</v>
      </c>
      <c r="G12">
        <v>8747.7000000000007</v>
      </c>
      <c r="H12">
        <v>8747.7000000000007</v>
      </c>
      <c r="I12" s="170">
        <f t="shared" si="2"/>
        <v>122.78020810050134</v>
      </c>
      <c r="J12">
        <v>1276</v>
      </c>
      <c r="K12">
        <v>1276</v>
      </c>
      <c r="L12" s="170">
        <f t="shared" si="3"/>
        <v>102.24358974358974</v>
      </c>
      <c r="M12">
        <v>5993</v>
      </c>
      <c r="N12">
        <v>5993</v>
      </c>
      <c r="O12" s="170">
        <f t="shared" si="4"/>
        <v>125.70925147094296</v>
      </c>
    </row>
    <row r="13" spans="1:21" hidden="1">
      <c r="A13" s="169">
        <v>39234</v>
      </c>
      <c r="B13">
        <v>0.13109999999999999</v>
      </c>
      <c r="C13" s="170">
        <f t="shared" si="0"/>
        <v>102.02334630350194</v>
      </c>
      <c r="D13">
        <v>2569.56</v>
      </c>
      <c r="F13" s="170">
        <f t="shared" si="1"/>
        <v>102.73093180316661</v>
      </c>
      <c r="G13">
        <v>8329.4385000000002</v>
      </c>
      <c r="H13">
        <v>8329.4385000000002</v>
      </c>
      <c r="I13" s="170">
        <f t="shared" si="2"/>
        <v>116.90960965628996</v>
      </c>
      <c r="J13">
        <v>1321</v>
      </c>
      <c r="K13">
        <v>1321</v>
      </c>
      <c r="L13" s="170">
        <f t="shared" si="3"/>
        <v>105.84935897435896</v>
      </c>
      <c r="M13">
        <v>6109.2599999999993</v>
      </c>
      <c r="N13">
        <v>6109.2599999999993</v>
      </c>
      <c r="O13" s="170">
        <f t="shared" si="4"/>
        <v>128.14792285022074</v>
      </c>
    </row>
    <row r="14" spans="1:21" hidden="1">
      <c r="A14" s="169">
        <v>39264</v>
      </c>
      <c r="B14">
        <v>0.1321</v>
      </c>
      <c r="C14" s="170">
        <f t="shared" si="0"/>
        <v>102.80155642023345</v>
      </c>
      <c r="D14">
        <v>2573.308</v>
      </c>
      <c r="F14" s="170">
        <f t="shared" si="1"/>
        <v>102.88077673085785</v>
      </c>
      <c r="G14">
        <v>8855.9840000000004</v>
      </c>
      <c r="H14">
        <v>8855.9840000000004</v>
      </c>
      <c r="I14" s="170">
        <f t="shared" si="2"/>
        <v>124.30005126544236</v>
      </c>
      <c r="J14">
        <v>1351</v>
      </c>
      <c r="K14">
        <v>1351</v>
      </c>
      <c r="L14" s="170">
        <f t="shared" si="3"/>
        <v>108.25320512820514</v>
      </c>
      <c r="M14">
        <v>5099.0599999999995</v>
      </c>
      <c r="N14">
        <v>5099.0599999999995</v>
      </c>
      <c r="O14" s="170">
        <f t="shared" si="4"/>
        <v>106.95795358008115</v>
      </c>
    </row>
    <row r="15" spans="1:21" hidden="1">
      <c r="A15" s="169">
        <v>39295</v>
      </c>
      <c r="B15">
        <v>0.1321</v>
      </c>
      <c r="C15" s="170">
        <f t="shared" si="0"/>
        <v>102.80155642023345</v>
      </c>
      <c r="D15">
        <v>2532.357</v>
      </c>
      <c r="F15" s="170">
        <f t="shared" si="1"/>
        <v>101.24355697795404</v>
      </c>
      <c r="G15">
        <v>8465.6284999999989</v>
      </c>
      <c r="H15">
        <v>8465.6284999999989</v>
      </c>
      <c r="I15" s="170">
        <f t="shared" si="2"/>
        <v>118.82113343296351</v>
      </c>
      <c r="J15">
        <v>1368</v>
      </c>
      <c r="K15">
        <v>1368</v>
      </c>
      <c r="L15" s="170">
        <f t="shared" si="3"/>
        <v>109.61538461538463</v>
      </c>
      <c r="M15">
        <v>4200.78</v>
      </c>
      <c r="N15">
        <v>4200.78</v>
      </c>
      <c r="O15" s="170">
        <f t="shared" si="4"/>
        <v>88.115619788771525</v>
      </c>
    </row>
    <row r="16" spans="1:21" hidden="1">
      <c r="A16" s="169">
        <v>39326</v>
      </c>
      <c r="B16">
        <v>0.13300000000000001</v>
      </c>
      <c r="C16" s="170">
        <f t="shared" si="0"/>
        <v>103.50194552529184</v>
      </c>
      <c r="D16">
        <v>2549.61</v>
      </c>
      <c r="F16" s="170">
        <f t="shared" si="1"/>
        <v>101.93333140096811</v>
      </c>
      <c r="G16">
        <v>8680.91</v>
      </c>
      <c r="H16">
        <v>8680.91</v>
      </c>
      <c r="I16" s="170">
        <f t="shared" si="2"/>
        <v>121.84276281785189</v>
      </c>
      <c r="J16">
        <v>1361</v>
      </c>
      <c r="K16">
        <v>1361</v>
      </c>
      <c r="L16" s="170">
        <f t="shared" si="3"/>
        <v>109.05448717948718</v>
      </c>
      <c r="M16">
        <v>4335.8</v>
      </c>
      <c r="N16">
        <v>4335.8</v>
      </c>
      <c r="O16" s="170">
        <f t="shared" si="4"/>
        <v>90.947801189339984</v>
      </c>
    </row>
    <row r="17" spans="1:21" hidden="1">
      <c r="A17" s="169">
        <v>39356</v>
      </c>
      <c r="B17">
        <v>0.13339999999999999</v>
      </c>
      <c r="C17" s="170">
        <f t="shared" si="0"/>
        <v>103.81322957198442</v>
      </c>
      <c r="D17">
        <v>2480.5729999999999</v>
      </c>
      <c r="F17" s="170">
        <f t="shared" si="1"/>
        <v>99.173234209660961</v>
      </c>
      <c r="G17">
        <v>8848.4219999999987</v>
      </c>
      <c r="H17">
        <v>8848.4219999999987</v>
      </c>
      <c r="I17" s="170">
        <f t="shared" si="2"/>
        <v>124.19391320244794</v>
      </c>
      <c r="J17">
        <v>1350</v>
      </c>
      <c r="K17">
        <v>1350</v>
      </c>
      <c r="L17" s="170">
        <f t="shared" si="3"/>
        <v>108.17307692307692</v>
      </c>
      <c r="M17">
        <v>4548.9399999999996</v>
      </c>
      <c r="N17">
        <v>4548.9399999999996</v>
      </c>
      <c r="O17" s="170">
        <f t="shared" si="4"/>
        <v>95.418628797969504</v>
      </c>
      <c r="P17">
        <v>103</v>
      </c>
      <c r="Q17" s="170">
        <v>100</v>
      </c>
      <c r="T17">
        <v>98.4</v>
      </c>
      <c r="U17" s="170">
        <v>100</v>
      </c>
    </row>
    <row r="18" spans="1:21" hidden="1">
      <c r="A18" s="169">
        <v>39387</v>
      </c>
      <c r="B18">
        <v>0.1348</v>
      </c>
      <c r="C18" s="170">
        <f t="shared" si="0"/>
        <v>104.90272373540857</v>
      </c>
      <c r="D18">
        <v>2421.6820000000002</v>
      </c>
      <c r="F18" s="170">
        <f t="shared" si="1"/>
        <v>96.818773794329047</v>
      </c>
      <c r="G18">
        <v>7885.1260000000002</v>
      </c>
      <c r="H18">
        <v>7885.1260000000002</v>
      </c>
      <c r="I18" s="170">
        <f t="shared" si="2"/>
        <v>110.67336684827711</v>
      </c>
      <c r="J18">
        <v>1390</v>
      </c>
      <c r="K18">
        <v>1390</v>
      </c>
      <c r="L18" s="170">
        <f t="shared" si="3"/>
        <v>111.37820512820514</v>
      </c>
      <c r="M18">
        <v>4664.08</v>
      </c>
      <c r="N18">
        <v>4664.08</v>
      </c>
      <c r="O18" s="170">
        <f t="shared" si="4"/>
        <v>97.833807041647873</v>
      </c>
      <c r="P18">
        <v>103.1</v>
      </c>
      <c r="Q18" s="170">
        <f>P18/$P$17*100</f>
        <v>100.09708737864078</v>
      </c>
      <c r="T18">
        <v>98.6</v>
      </c>
      <c r="U18" s="170">
        <f>T18/$T$17*100</f>
        <v>100.20325203252031</v>
      </c>
    </row>
    <row r="19" spans="1:21">
      <c r="A19" s="169">
        <v>39417</v>
      </c>
      <c r="B19">
        <v>0.1358</v>
      </c>
      <c r="C19" s="170">
        <v>100</v>
      </c>
      <c r="D19">
        <v>2525.201</v>
      </c>
      <c r="E19">
        <f>D19*C19/100</f>
        <v>2525.201</v>
      </c>
      <c r="F19" s="170">
        <v>100</v>
      </c>
      <c r="G19">
        <v>7699.1810000000005</v>
      </c>
      <c r="H19">
        <f>G19*C19/100</f>
        <v>7699.1810000000005</v>
      </c>
      <c r="I19" s="170">
        <v>100</v>
      </c>
      <c r="J19">
        <v>1420</v>
      </c>
      <c r="K19">
        <f>J19*C19/100</f>
        <v>1420</v>
      </c>
      <c r="L19" s="170">
        <v>100</v>
      </c>
      <c r="M19">
        <v>4698.68</v>
      </c>
      <c r="N19">
        <f>M19*C19/100</f>
        <v>4698.68</v>
      </c>
      <c r="O19" s="170">
        <v>100</v>
      </c>
      <c r="P19">
        <v>103.11</v>
      </c>
      <c r="Q19" s="170">
        <f t="shared" ref="Q19:Q43" si="5">P19/$P$17*100</f>
        <v>100.10679611650485</v>
      </c>
      <c r="T19">
        <v>98.7</v>
      </c>
      <c r="U19" s="170">
        <f t="shared" ref="U19:U43" si="6">T19/$T$17*100</f>
        <v>100.30487804878048</v>
      </c>
    </row>
    <row r="20" spans="1:21">
      <c r="A20" s="169">
        <v>39448</v>
      </c>
      <c r="B20">
        <v>0.13815</v>
      </c>
      <c r="C20" s="170">
        <f>B20/$B$19*100</f>
        <v>101.73048600883652</v>
      </c>
      <c r="D20">
        <v>2600.6737499999999</v>
      </c>
      <c r="E20">
        <f>D20*C20/100</f>
        <v>2645.6780453792344</v>
      </c>
      <c r="F20" s="170">
        <f>E20/$E$19*100</f>
        <v>104.77098834426386</v>
      </c>
      <c r="G20">
        <v>8323.5375000000004</v>
      </c>
      <c r="H20">
        <f t="shared" ref="H20:H44" si="7">G20*C20/100</f>
        <v>8467.5751518777615</v>
      </c>
      <c r="I20" s="170">
        <f>H20/$H$19*100</f>
        <v>109.98020636062149</v>
      </c>
      <c r="J20">
        <v>1443</v>
      </c>
      <c r="K20">
        <f t="shared" ref="K20:K44" si="8">J20*C20/100</f>
        <v>1467.970913107511</v>
      </c>
      <c r="L20" s="170">
        <f>K20/$K$19*100</f>
        <v>103.37823331743034</v>
      </c>
      <c r="M20">
        <v>4434.6149999999998</v>
      </c>
      <c r="N20">
        <f t="shared" ref="N20:N44" si="9">M20*C20/100</f>
        <v>4511.3553921207658</v>
      </c>
      <c r="O20" s="170">
        <f>N20/$N$19*100</f>
        <v>96.013250362245685</v>
      </c>
      <c r="P20">
        <v>101.7</v>
      </c>
      <c r="Q20" s="170">
        <f t="shared" si="5"/>
        <v>98.737864077669897</v>
      </c>
      <c r="T20">
        <v>97.6</v>
      </c>
      <c r="U20" s="170">
        <f t="shared" si="6"/>
        <v>99.186991869918685</v>
      </c>
    </row>
    <row r="21" spans="1:21">
      <c r="A21" s="169">
        <v>39479</v>
      </c>
      <c r="B21">
        <v>0.13965</v>
      </c>
      <c r="C21" s="170">
        <f t="shared" ref="C21:C44" si="10">B21/$B$19*100</f>
        <v>102.83505154639174</v>
      </c>
      <c r="D21">
        <v>2735.7435</v>
      </c>
      <c r="E21">
        <f t="shared" ref="E21:E44" si="11">D21*C21/100</f>
        <v>2813.3032384020612</v>
      </c>
      <c r="F21" s="170">
        <f t="shared" ref="F21:F44" si="12">E21/$E$19*100</f>
        <v>111.40908143161916</v>
      </c>
      <c r="G21">
        <v>9121.9380000000001</v>
      </c>
      <c r="H21">
        <f t="shared" si="7"/>
        <v>9380.5496443298962</v>
      </c>
      <c r="I21" s="170">
        <f t="shared" ref="I21:I44" si="13">H21/$H$19*100</f>
        <v>121.8382792186584</v>
      </c>
      <c r="J21">
        <v>1468</v>
      </c>
      <c r="K21">
        <f t="shared" si="8"/>
        <v>1509.6185567010307</v>
      </c>
      <c r="L21" s="170">
        <f t="shared" ref="L21:L44" si="14">K21/$K$19*100</f>
        <v>106.31116596486132</v>
      </c>
      <c r="M21">
        <v>4510.6949999999997</v>
      </c>
      <c r="N21">
        <f t="shared" si="9"/>
        <v>4638.5755283505141</v>
      </c>
      <c r="O21" s="170">
        <f t="shared" ref="O21:O42" si="15">N21/$N$19*100</f>
        <v>98.720822195819125</v>
      </c>
      <c r="P21">
        <v>101.8</v>
      </c>
      <c r="Q21" s="170">
        <f t="shared" si="5"/>
        <v>98.834951456310677</v>
      </c>
      <c r="T21">
        <v>97.83</v>
      </c>
      <c r="U21" s="170">
        <f t="shared" si="6"/>
        <v>99.42073170731706</v>
      </c>
    </row>
    <row r="22" spans="1:21">
      <c r="A22" s="169">
        <v>39508</v>
      </c>
      <c r="B22">
        <v>0.14150000000000001</v>
      </c>
      <c r="C22" s="170">
        <f t="shared" si="10"/>
        <v>104.19734904270987</v>
      </c>
      <c r="D22">
        <v>2865.3750000000005</v>
      </c>
      <c r="E22">
        <f t="shared" si="11"/>
        <v>2985.6447901325487</v>
      </c>
      <c r="F22" s="170">
        <f t="shared" si="12"/>
        <v>118.23394613468585</v>
      </c>
      <c r="G22">
        <v>9372.2525000000005</v>
      </c>
      <c r="H22">
        <f t="shared" si="7"/>
        <v>9765.6386505891023</v>
      </c>
      <c r="I22" s="170">
        <f t="shared" si="13"/>
        <v>126.83996714181809</v>
      </c>
      <c r="J22">
        <v>1510</v>
      </c>
      <c r="K22">
        <f t="shared" si="8"/>
        <v>1573.3799705449192</v>
      </c>
      <c r="L22" s="170">
        <f t="shared" si="14"/>
        <v>110.80140637640277</v>
      </c>
      <c r="M22">
        <v>4570.4500000000007</v>
      </c>
      <c r="N22">
        <f t="shared" si="9"/>
        <v>4762.2877393225344</v>
      </c>
      <c r="O22" s="170">
        <f t="shared" si="15"/>
        <v>101.3537363540938</v>
      </c>
      <c r="P22">
        <v>102.4</v>
      </c>
      <c r="Q22" s="170">
        <f t="shared" si="5"/>
        <v>99.417475728155352</v>
      </c>
      <c r="T22">
        <v>98.2</v>
      </c>
      <c r="U22" s="170">
        <f t="shared" si="6"/>
        <v>99.796747967479675</v>
      </c>
    </row>
    <row r="23" spans="1:21">
      <c r="A23" s="169">
        <v>39539</v>
      </c>
      <c r="B23">
        <v>0.14326</v>
      </c>
      <c r="C23" s="170">
        <f t="shared" si="10"/>
        <v>105.49337260677467</v>
      </c>
      <c r="D23">
        <v>2755.6061</v>
      </c>
      <c r="E23">
        <f t="shared" si="11"/>
        <v>2906.9818106480116</v>
      </c>
      <c r="F23" s="170">
        <f t="shared" si="12"/>
        <v>115.11882858623974</v>
      </c>
      <c r="G23">
        <v>8944.4380999999994</v>
      </c>
      <c r="H23">
        <f t="shared" si="7"/>
        <v>9435.7894124153172</v>
      </c>
      <c r="I23" s="170">
        <f t="shared" si="13"/>
        <v>122.55575511752895</v>
      </c>
      <c r="J23">
        <v>1543</v>
      </c>
      <c r="K23">
        <f t="shared" si="8"/>
        <v>1627.7627393225332</v>
      </c>
      <c r="L23" s="170">
        <f t="shared" si="14"/>
        <v>114.63117882553051</v>
      </c>
      <c r="M23">
        <v>4885.1660000000002</v>
      </c>
      <c r="N23">
        <f t="shared" si="9"/>
        <v>5153.5263708394705</v>
      </c>
      <c r="O23" s="170">
        <f t="shared" si="15"/>
        <v>109.68030108114344</v>
      </c>
      <c r="P23">
        <v>102.7</v>
      </c>
      <c r="Q23" s="170">
        <f t="shared" si="5"/>
        <v>99.708737864077662</v>
      </c>
      <c r="R23">
        <v>101.9</v>
      </c>
      <c r="S23" s="170">
        <f>R23</f>
        <v>101.9</v>
      </c>
      <c r="T23">
        <v>98.5</v>
      </c>
      <c r="U23" s="170">
        <f t="shared" si="6"/>
        <v>100.10162601626016</v>
      </c>
    </row>
    <row r="24" spans="1:21">
      <c r="A24" s="169">
        <v>39569</v>
      </c>
      <c r="B24">
        <v>0.14358000000000001</v>
      </c>
      <c r="C24" s="170">
        <f t="shared" si="10"/>
        <v>105.72901325478645</v>
      </c>
      <c r="D24">
        <v>2727.3021000000003</v>
      </c>
      <c r="E24">
        <f t="shared" si="11"/>
        <v>2883.5495988070697</v>
      </c>
      <c r="F24" s="170">
        <f t="shared" si="12"/>
        <v>114.19089406376244</v>
      </c>
      <c r="G24">
        <v>8962.2636000000002</v>
      </c>
      <c r="H24">
        <f t="shared" si="7"/>
        <v>9475.7128695729007</v>
      </c>
      <c r="I24" s="170">
        <f t="shared" si="13"/>
        <v>123.07429672809225</v>
      </c>
      <c r="J24">
        <v>1656</v>
      </c>
      <c r="K24">
        <f t="shared" si="8"/>
        <v>1750.8724594992634</v>
      </c>
      <c r="L24" s="170">
        <f t="shared" si="14"/>
        <v>123.3008774295256</v>
      </c>
      <c r="M24">
        <v>4680.7080000000005</v>
      </c>
      <c r="N24">
        <f t="shared" si="9"/>
        <v>4948.866381737851</v>
      </c>
      <c r="O24" s="170">
        <f t="shared" si="15"/>
        <v>105.32460992742325</v>
      </c>
      <c r="P24">
        <v>103</v>
      </c>
      <c r="Q24" s="170">
        <f t="shared" si="5"/>
        <v>100</v>
      </c>
      <c r="R24">
        <v>102.3</v>
      </c>
      <c r="S24" s="170">
        <f t="shared" ref="S24:S31" si="16">R24</f>
        <v>102.3</v>
      </c>
      <c r="T24">
        <v>98.8</v>
      </c>
      <c r="U24" s="170">
        <f t="shared" si="6"/>
        <v>100.40650406504064</v>
      </c>
    </row>
    <row r="25" spans="1:21">
      <c r="A25" s="169">
        <v>39600</v>
      </c>
      <c r="B25">
        <v>0.14512</v>
      </c>
      <c r="C25" s="170">
        <f t="shared" si="10"/>
        <v>106.86303387334316</v>
      </c>
      <c r="D25">
        <v>2808.0720000000001</v>
      </c>
      <c r="E25">
        <f t="shared" si="11"/>
        <v>3000.7909325478645</v>
      </c>
      <c r="F25" s="170">
        <f t="shared" si="12"/>
        <v>118.83374561264091</v>
      </c>
      <c r="G25">
        <v>8867.5576000000001</v>
      </c>
      <c r="H25">
        <f t="shared" si="7"/>
        <v>9476.1410818262157</v>
      </c>
      <c r="I25" s="170">
        <f t="shared" si="13"/>
        <v>123.07985851775942</v>
      </c>
      <c r="J25">
        <v>1934</v>
      </c>
      <c r="K25">
        <f t="shared" si="8"/>
        <v>2066.7310751104569</v>
      </c>
      <c r="L25" s="170">
        <f t="shared" si="14"/>
        <v>145.54444190918713</v>
      </c>
      <c r="M25">
        <v>4440.6719999999996</v>
      </c>
      <c r="N25">
        <f t="shared" si="9"/>
        <v>4745.436823564065</v>
      </c>
      <c r="O25" s="170">
        <f t="shared" si="15"/>
        <v>100.995105509719</v>
      </c>
      <c r="P25">
        <v>103.5</v>
      </c>
      <c r="Q25" s="170">
        <f t="shared" si="5"/>
        <v>100.48543689320388</v>
      </c>
      <c r="R25">
        <v>103.7</v>
      </c>
      <c r="S25" s="170">
        <f t="shared" si="16"/>
        <v>103.7</v>
      </c>
      <c r="T25">
        <v>99.4</v>
      </c>
      <c r="U25" s="170">
        <f t="shared" si="6"/>
        <v>101.01626016260164</v>
      </c>
    </row>
    <row r="26" spans="1:21">
      <c r="A26" s="169">
        <v>39630</v>
      </c>
      <c r="B26">
        <v>0.14648</v>
      </c>
      <c r="C26" s="170">
        <f t="shared" si="10"/>
        <v>107.86450662739323</v>
      </c>
      <c r="D26">
        <v>2870.2755999999999</v>
      </c>
      <c r="E26">
        <f t="shared" si="11"/>
        <v>3096.0086147864508</v>
      </c>
      <c r="F26" s="170">
        <f t="shared" si="12"/>
        <v>122.60444276659366</v>
      </c>
      <c r="G26">
        <v>9154.2675999999992</v>
      </c>
      <c r="H26">
        <f t="shared" si="7"/>
        <v>9874.2055820913101</v>
      </c>
      <c r="I26" s="170">
        <f t="shared" si="13"/>
        <v>128.25007727563894</v>
      </c>
      <c r="J26">
        <v>1980</v>
      </c>
      <c r="K26">
        <f t="shared" si="8"/>
        <v>2135.7172312223861</v>
      </c>
      <c r="L26" s="170">
        <f t="shared" si="14"/>
        <v>150.40262191706944</v>
      </c>
      <c r="M26">
        <v>4482.2879999999996</v>
      </c>
      <c r="N26">
        <f t="shared" si="9"/>
        <v>4834.7978368188515</v>
      </c>
      <c r="O26" s="170">
        <f t="shared" si="15"/>
        <v>102.89693779569691</v>
      </c>
      <c r="P26">
        <v>103.9</v>
      </c>
      <c r="Q26" s="170">
        <f t="shared" si="5"/>
        <v>100.87378640776699</v>
      </c>
      <c r="R26">
        <v>104.4</v>
      </c>
      <c r="S26" s="170">
        <f t="shared" si="16"/>
        <v>104.4</v>
      </c>
      <c r="T26">
        <v>100</v>
      </c>
      <c r="U26" s="170">
        <f t="shared" si="6"/>
        <v>101.62601626016259</v>
      </c>
    </row>
    <row r="27" spans="1:21">
      <c r="A27" s="169">
        <v>39661</v>
      </c>
      <c r="B27">
        <v>0.14617000000000002</v>
      </c>
      <c r="C27" s="170">
        <f t="shared" si="10"/>
        <v>107.63622974963182</v>
      </c>
      <c r="D27">
        <v>2726.0705000000003</v>
      </c>
      <c r="E27">
        <f t="shared" si="11"/>
        <v>2934.2395065169376</v>
      </c>
      <c r="F27" s="170">
        <f t="shared" si="12"/>
        <v>116.19825536727323</v>
      </c>
      <c r="G27">
        <v>8483.7068000000017</v>
      </c>
      <c r="H27">
        <f t="shared" si="7"/>
        <v>9131.5421425331388</v>
      </c>
      <c r="I27" s="170">
        <f t="shared" si="13"/>
        <v>118.60407155687258</v>
      </c>
      <c r="J27">
        <v>1723</v>
      </c>
      <c r="K27">
        <f t="shared" si="8"/>
        <v>1854.5722385861563</v>
      </c>
      <c r="L27" s="170">
        <f t="shared" si="14"/>
        <v>130.60367877367298</v>
      </c>
      <c r="M27">
        <v>4224.313000000001</v>
      </c>
      <c r="N27">
        <f t="shared" si="9"/>
        <v>4546.8912460235661</v>
      </c>
      <c r="O27" s="170">
        <f t="shared" si="15"/>
        <v>96.769544766265554</v>
      </c>
      <c r="P27">
        <v>104.4</v>
      </c>
      <c r="Q27" s="170">
        <f t="shared" si="5"/>
        <v>101.35922330097087</v>
      </c>
      <c r="R27">
        <v>106.6</v>
      </c>
      <c r="S27" s="170">
        <f t="shared" si="16"/>
        <v>106.6</v>
      </c>
      <c r="T27">
        <v>101</v>
      </c>
      <c r="U27" s="170">
        <f t="shared" si="6"/>
        <v>102.64227642276423</v>
      </c>
    </row>
    <row r="28" spans="1:21">
      <c r="A28" s="169">
        <v>39692</v>
      </c>
      <c r="B28">
        <v>0.14651</v>
      </c>
      <c r="C28" s="170">
        <f t="shared" si="10"/>
        <v>107.88659793814432</v>
      </c>
      <c r="D28">
        <v>2477.4841000000001</v>
      </c>
      <c r="E28">
        <f t="shared" si="11"/>
        <v>2672.8733099484539</v>
      </c>
      <c r="F28" s="170">
        <f t="shared" si="12"/>
        <v>105.84794279538356</v>
      </c>
      <c r="G28">
        <v>8086.6194500000001</v>
      </c>
      <c r="H28">
        <f t="shared" si="7"/>
        <v>8724.3786128092779</v>
      </c>
      <c r="I28" s="170">
        <f t="shared" si="13"/>
        <v>113.31567101499857</v>
      </c>
      <c r="J28">
        <v>1471</v>
      </c>
      <c r="K28">
        <f t="shared" si="8"/>
        <v>1587.0118556701027</v>
      </c>
      <c r="L28" s="170">
        <f t="shared" si="14"/>
        <v>111.76139828662694</v>
      </c>
      <c r="M28">
        <v>4234.1390000000001</v>
      </c>
      <c r="N28">
        <f t="shared" si="9"/>
        <v>4568.0685190721651</v>
      </c>
      <c r="O28" s="170">
        <f t="shared" si="15"/>
        <v>97.220251625396173</v>
      </c>
      <c r="P28">
        <v>105</v>
      </c>
      <c r="Q28" s="170">
        <f t="shared" si="5"/>
        <v>101.94174757281553</v>
      </c>
      <c r="R28">
        <v>107.6</v>
      </c>
      <c r="S28" s="170">
        <f t="shared" si="16"/>
        <v>107.6</v>
      </c>
      <c r="T28">
        <v>101.62</v>
      </c>
      <c r="U28" s="170">
        <f t="shared" si="6"/>
        <v>103.27235772357723</v>
      </c>
    </row>
    <row r="29" spans="1:21">
      <c r="A29" s="169">
        <v>39722</v>
      </c>
      <c r="B29">
        <v>0.14649599999999999</v>
      </c>
      <c r="C29" s="170">
        <f t="shared" si="10"/>
        <v>107.8762886597938</v>
      </c>
      <c r="D29">
        <v>2125.29072</v>
      </c>
      <c r="E29">
        <f t="shared" si="11"/>
        <v>2292.68475196701</v>
      </c>
      <c r="F29" s="170">
        <f>E29/$E$19*100</f>
        <v>90.79216870130378</v>
      </c>
      <c r="G29">
        <v>6168.9465599999994</v>
      </c>
      <c r="H29">
        <f t="shared" si="7"/>
        <v>6654.8305983340197</v>
      </c>
      <c r="I29" s="170">
        <f t="shared" si="13"/>
        <v>86.43556500794071</v>
      </c>
      <c r="J29">
        <v>1005</v>
      </c>
      <c r="K29">
        <f t="shared" si="8"/>
        <v>1084.1567010309277</v>
      </c>
      <c r="L29" s="170">
        <f t="shared" si="14"/>
        <v>76.349063452882234</v>
      </c>
      <c r="M29">
        <v>3852.8447999999999</v>
      </c>
      <c r="N29">
        <f t="shared" si="9"/>
        <v>4156.3059780618551</v>
      </c>
      <c r="O29" s="170">
        <f t="shared" si="15"/>
        <v>88.456885296761115</v>
      </c>
      <c r="P29">
        <v>105.3</v>
      </c>
      <c r="Q29" s="170">
        <f t="shared" si="5"/>
        <v>102.23300970873785</v>
      </c>
      <c r="R29">
        <v>108.4</v>
      </c>
      <c r="S29" s="170">
        <f t="shared" si="16"/>
        <v>108.4</v>
      </c>
      <c r="T29">
        <v>102.2</v>
      </c>
      <c r="U29" s="170">
        <f t="shared" si="6"/>
        <v>103.86178861788618</v>
      </c>
    </row>
    <row r="30" spans="1:21">
      <c r="A30" s="169">
        <v>39753</v>
      </c>
      <c r="B30">
        <v>0.14668</v>
      </c>
      <c r="C30" s="170">
        <f t="shared" si="10"/>
        <v>108.01178203240059</v>
      </c>
      <c r="D30">
        <v>2016.8500000000001</v>
      </c>
      <c r="E30">
        <f t="shared" si="11"/>
        <v>2178.4356259204715</v>
      </c>
      <c r="F30" s="170">
        <f t="shared" si="12"/>
        <v>86.26781099486621</v>
      </c>
      <c r="G30">
        <v>5261.4116000000004</v>
      </c>
      <c r="H30">
        <f t="shared" si="7"/>
        <v>5682.9444292194412</v>
      </c>
      <c r="I30" s="170">
        <f t="shared" si="13"/>
        <v>73.812324053940813</v>
      </c>
      <c r="J30">
        <v>678</v>
      </c>
      <c r="K30">
        <f t="shared" si="8"/>
        <v>732.31988217967603</v>
      </c>
      <c r="L30" s="170">
        <f t="shared" si="14"/>
        <v>51.571822688709581</v>
      </c>
      <c r="M30">
        <v>2977.6040000000003</v>
      </c>
      <c r="N30">
        <f t="shared" si="9"/>
        <v>3216.1631422680412</v>
      </c>
      <c r="O30" s="170">
        <f t="shared" si="15"/>
        <v>68.448226784289218</v>
      </c>
      <c r="P30">
        <v>105.6</v>
      </c>
      <c r="Q30" s="170">
        <f t="shared" si="5"/>
        <v>102.52427184466019</v>
      </c>
      <c r="R30">
        <v>108.8</v>
      </c>
      <c r="S30" s="170">
        <f t="shared" si="16"/>
        <v>108.8</v>
      </c>
      <c r="T30">
        <v>102.7</v>
      </c>
      <c r="U30" s="170">
        <f t="shared" si="6"/>
        <v>104.369918699187</v>
      </c>
    </row>
    <row r="31" spans="1:21">
      <c r="A31" s="169">
        <v>39783</v>
      </c>
      <c r="B31">
        <v>0.14615800000000001</v>
      </c>
      <c r="C31" s="170">
        <f t="shared" si="10"/>
        <v>107.62739322533137</v>
      </c>
      <c r="D31">
        <v>1712.9717600000001</v>
      </c>
      <c r="E31">
        <f t="shared" si="11"/>
        <v>1843.6268519740797</v>
      </c>
      <c r="F31" s="170">
        <f t="shared" si="12"/>
        <v>73.009113016115535</v>
      </c>
      <c r="G31">
        <v>4521.3977300000006</v>
      </c>
      <c r="H31">
        <f t="shared" si="7"/>
        <v>4866.2625141483077</v>
      </c>
      <c r="I31" s="170">
        <f t="shared" si="13"/>
        <v>63.204937176412756</v>
      </c>
      <c r="J31">
        <v>750</v>
      </c>
      <c r="K31">
        <f t="shared" si="8"/>
        <v>807.20544918998542</v>
      </c>
      <c r="L31" s="170">
        <f t="shared" si="14"/>
        <v>56.845454168308827</v>
      </c>
      <c r="M31">
        <v>2762.3862000000004</v>
      </c>
      <c r="N31">
        <f t="shared" si="9"/>
        <v>2973.084257876289</v>
      </c>
      <c r="O31" s="170">
        <f t="shared" si="15"/>
        <v>63.274882687824849</v>
      </c>
      <c r="P31">
        <v>106</v>
      </c>
      <c r="Q31" s="170">
        <f t="shared" si="5"/>
        <v>102.91262135922329</v>
      </c>
      <c r="R31">
        <v>109</v>
      </c>
      <c r="S31" s="170">
        <f t="shared" si="16"/>
        <v>109</v>
      </c>
      <c r="T31">
        <v>103</v>
      </c>
      <c r="U31" s="170">
        <v>100</v>
      </c>
    </row>
    <row r="32" spans="1:21">
      <c r="A32" s="169">
        <v>39814</v>
      </c>
      <c r="B32">
        <v>0.14649999999999999</v>
      </c>
      <c r="C32" s="170">
        <f t="shared" si="10"/>
        <v>107.87923416789396</v>
      </c>
      <c r="D32">
        <v>1767.15625</v>
      </c>
      <c r="E32">
        <f t="shared" si="11"/>
        <v>1906.3946290500735</v>
      </c>
      <c r="F32" s="170">
        <f t="shared" si="12"/>
        <v>75.494767705623175</v>
      </c>
      <c r="G32">
        <v>4572.9974999999995</v>
      </c>
      <c r="H32">
        <f t="shared" si="7"/>
        <v>4933.3146815169357</v>
      </c>
      <c r="I32" s="170">
        <f t="shared" si="13"/>
        <v>64.075837176927465</v>
      </c>
      <c r="J32">
        <v>786</v>
      </c>
      <c r="K32">
        <f t="shared" si="8"/>
        <v>847.93078055964656</v>
      </c>
      <c r="L32" s="170">
        <f t="shared" si="14"/>
        <v>59.713435250679339</v>
      </c>
      <c r="M32">
        <v>2768.85</v>
      </c>
      <c r="N32">
        <f t="shared" si="9"/>
        <v>2987.0141752577315</v>
      </c>
      <c r="O32" s="170">
        <f t="shared" si="15"/>
        <v>63.571347171072112</v>
      </c>
      <c r="P32">
        <v>102.3</v>
      </c>
      <c r="Q32" s="170">
        <f t="shared" si="5"/>
        <v>99.320388349514559</v>
      </c>
      <c r="R32">
        <v>98.8</v>
      </c>
      <c r="S32" s="170">
        <f>R32*$R$31/100</f>
        <v>107.69199999999999</v>
      </c>
      <c r="T32">
        <v>97.9</v>
      </c>
      <c r="U32" s="170">
        <f t="shared" si="6"/>
        <v>99.49186991869918</v>
      </c>
    </row>
    <row r="33" spans="1:21">
      <c r="A33" s="169">
        <v>39845</v>
      </c>
      <c r="B33">
        <v>0.14649999999999999</v>
      </c>
      <c r="C33" s="170">
        <f t="shared" si="10"/>
        <v>107.87923416789396</v>
      </c>
      <c r="D33">
        <v>1748.4775</v>
      </c>
      <c r="E33">
        <f t="shared" si="11"/>
        <v>1886.244136597938</v>
      </c>
      <c r="F33" s="170">
        <f t="shared" si="12"/>
        <v>74.696791922620733</v>
      </c>
      <c r="G33">
        <v>4063.1774999999998</v>
      </c>
      <c r="H33">
        <f t="shared" si="7"/>
        <v>4383.3247698821788</v>
      </c>
      <c r="I33" s="170">
        <f t="shared" si="13"/>
        <v>56.932351244660687</v>
      </c>
      <c r="J33">
        <v>878</v>
      </c>
      <c r="K33">
        <f t="shared" si="8"/>
        <v>947.17967599410895</v>
      </c>
      <c r="L33" s="170">
        <f t="shared" si="14"/>
        <v>66.702794084092176</v>
      </c>
      <c r="M33">
        <v>2768.85</v>
      </c>
      <c r="N33">
        <f t="shared" si="9"/>
        <v>2987.0141752577315</v>
      </c>
      <c r="O33" s="170">
        <f t="shared" si="15"/>
        <v>63.571347171072112</v>
      </c>
      <c r="P33">
        <v>101.9</v>
      </c>
      <c r="Q33" s="170">
        <f t="shared" si="5"/>
        <v>98.93203883495147</v>
      </c>
      <c r="R33">
        <v>98.7</v>
      </c>
      <c r="S33" s="170">
        <f t="shared" ref="S33:S43" si="17">R33*$R$31/100</f>
        <v>107.58300000000001</v>
      </c>
      <c r="T33">
        <v>97.6</v>
      </c>
      <c r="U33" s="170">
        <f t="shared" si="6"/>
        <v>99.186991869918685</v>
      </c>
    </row>
    <row r="34" spans="1:21">
      <c r="A34" s="169">
        <v>39873</v>
      </c>
      <c r="B34">
        <v>0.14649999999999999</v>
      </c>
      <c r="C34" s="170">
        <f t="shared" si="10"/>
        <v>107.87923416789396</v>
      </c>
      <c r="D34">
        <v>1840.3329999999999</v>
      </c>
      <c r="E34">
        <f t="shared" si="11"/>
        <v>1985.3371465390278</v>
      </c>
      <c r="F34" s="170">
        <f t="shared" si="12"/>
        <v>78.620955184915104</v>
      </c>
      <c r="G34">
        <v>4575.9274999999998</v>
      </c>
      <c r="H34">
        <f t="shared" si="7"/>
        <v>4936.4755430780551</v>
      </c>
      <c r="I34" s="170">
        <f t="shared" si="13"/>
        <v>64.116891693779564</v>
      </c>
      <c r="J34">
        <v>898</v>
      </c>
      <c r="K34">
        <f t="shared" si="8"/>
        <v>968.75552282768763</v>
      </c>
      <c r="L34" s="170">
        <f t="shared" si="14"/>
        <v>68.2222199174428</v>
      </c>
      <c r="M34">
        <v>2314.6999999999998</v>
      </c>
      <c r="N34">
        <f t="shared" si="9"/>
        <v>2497.0806332842412</v>
      </c>
      <c r="O34" s="170">
        <f t="shared" si="15"/>
        <v>53.144300809679336</v>
      </c>
      <c r="P34">
        <v>101.6</v>
      </c>
      <c r="Q34" s="170">
        <f t="shared" si="5"/>
        <v>98.640776699029118</v>
      </c>
      <c r="R34">
        <v>98.4</v>
      </c>
      <c r="S34" s="170">
        <f t="shared" si="17"/>
        <v>107.256</v>
      </c>
      <c r="T34">
        <v>97.4</v>
      </c>
      <c r="U34" s="170">
        <f t="shared" si="6"/>
        <v>98.983739837398375</v>
      </c>
    </row>
    <row r="35" spans="1:21">
      <c r="A35" s="169">
        <v>39904</v>
      </c>
      <c r="B35">
        <v>0.14657999999999999</v>
      </c>
      <c r="C35" s="170">
        <f t="shared" si="10"/>
        <v>107.9381443298969</v>
      </c>
      <c r="D35">
        <v>1989.0905999999998</v>
      </c>
      <c r="E35">
        <f t="shared" si="11"/>
        <v>2146.9874826804121</v>
      </c>
      <c r="F35" s="170">
        <f t="shared" si="12"/>
        <v>85.022439111991957</v>
      </c>
      <c r="G35" s="173">
        <v>5672.6459999999997</v>
      </c>
      <c r="H35">
        <f t="shared" si="7"/>
        <v>6122.9488268041223</v>
      </c>
      <c r="I35" s="170">
        <f t="shared" si="13"/>
        <v>79.527274742652793</v>
      </c>
      <c r="J35">
        <v>1049</v>
      </c>
      <c r="K35">
        <f t="shared" si="8"/>
        <v>1132.2711340206185</v>
      </c>
      <c r="L35" s="170">
        <f t="shared" si="14"/>
        <v>79.737403804268908</v>
      </c>
      <c r="M35">
        <v>2433.2279999999996</v>
      </c>
      <c r="N35">
        <f t="shared" si="9"/>
        <v>2626.3811505154631</v>
      </c>
      <c r="O35" s="170">
        <f t="shared" si="15"/>
        <v>55.896148503738566</v>
      </c>
      <c r="P35">
        <v>101.3</v>
      </c>
      <c r="Q35" s="170">
        <f t="shared" si="5"/>
        <v>98.349514563106794</v>
      </c>
      <c r="R35">
        <v>98.2</v>
      </c>
      <c r="S35" s="170">
        <f t="shared" si="17"/>
        <v>107.03800000000001</v>
      </c>
      <c r="T35">
        <v>97</v>
      </c>
      <c r="U35" s="170">
        <f t="shared" si="6"/>
        <v>98.577235772357724</v>
      </c>
    </row>
    <row r="36" spans="1:21">
      <c r="A36" s="169">
        <v>39934</v>
      </c>
      <c r="B36">
        <v>0.14676</v>
      </c>
      <c r="C36" s="170">
        <f t="shared" si="10"/>
        <v>108.07069219440353</v>
      </c>
      <c r="D36">
        <v>1924.0236</v>
      </c>
      <c r="E36">
        <f t="shared" si="11"/>
        <v>2079.3056225036817</v>
      </c>
      <c r="F36" s="170">
        <f t="shared" si="12"/>
        <v>82.342182761042849</v>
      </c>
      <c r="G36" s="173">
        <v>5526.9816000000001</v>
      </c>
      <c r="H36">
        <f t="shared" si="7"/>
        <v>5973.0472725773197</v>
      </c>
      <c r="I36" s="170">
        <f t="shared" si="13"/>
        <v>77.580294223207886</v>
      </c>
      <c r="J36">
        <v>1059</v>
      </c>
      <c r="K36">
        <f t="shared" si="8"/>
        <v>1144.4686303387334</v>
      </c>
      <c r="L36" s="170">
        <f t="shared" si="14"/>
        <v>80.596382418220657</v>
      </c>
      <c r="M36">
        <v>2575.6379999999999</v>
      </c>
      <c r="N36">
        <f t="shared" si="9"/>
        <v>2783.5098150220915</v>
      </c>
      <c r="O36" s="170">
        <f t="shared" si="15"/>
        <v>59.240250773027562</v>
      </c>
      <c r="P36">
        <v>100.9</v>
      </c>
      <c r="Q36" s="170">
        <f t="shared" si="5"/>
        <v>97.961165048543691</v>
      </c>
      <c r="R36">
        <v>97.8</v>
      </c>
      <c r="S36" s="170">
        <f t="shared" si="17"/>
        <v>106.60199999999999</v>
      </c>
      <c r="T36">
        <v>96.8</v>
      </c>
      <c r="U36" s="170">
        <f t="shared" si="6"/>
        <v>98.373983739837385</v>
      </c>
    </row>
    <row r="37" spans="1:21">
      <c r="A37" s="169">
        <v>39965</v>
      </c>
      <c r="B37">
        <v>0.14655000000000001</v>
      </c>
      <c r="C37" s="170">
        <f t="shared" si="10"/>
        <v>107.91605301914582</v>
      </c>
      <c r="D37">
        <v>1947.2831250000002</v>
      </c>
      <c r="E37">
        <f t="shared" si="11"/>
        <v>2101.4310896078796</v>
      </c>
      <c r="F37" s="170">
        <f t="shared" si="12"/>
        <v>83.218369136075893</v>
      </c>
      <c r="G37" s="173">
        <v>5854.6725000000006</v>
      </c>
      <c r="H37">
        <f t="shared" si="7"/>
        <v>6318.1314791973509</v>
      </c>
      <c r="I37" s="170">
        <f t="shared" si="13"/>
        <v>82.0623840275654</v>
      </c>
      <c r="J37">
        <v>1093</v>
      </c>
      <c r="K37">
        <f t="shared" si="8"/>
        <v>1179.5224594992637</v>
      </c>
      <c r="L37" s="170">
        <f t="shared" si="14"/>
        <v>83.064961936567869</v>
      </c>
      <c r="M37">
        <v>2894.3625000000002</v>
      </c>
      <c r="N37">
        <f t="shared" si="9"/>
        <v>3123.4817700662747</v>
      </c>
      <c r="O37" s="170">
        <f t="shared" si="15"/>
        <v>66.475728716709256</v>
      </c>
      <c r="P37">
        <v>100.6</v>
      </c>
      <c r="Q37" s="170">
        <f t="shared" si="5"/>
        <v>97.669902912621353</v>
      </c>
      <c r="R37">
        <v>97.5</v>
      </c>
      <c r="S37" s="170">
        <f t="shared" si="17"/>
        <v>106.27500000000001</v>
      </c>
      <c r="T37">
        <v>96.6</v>
      </c>
      <c r="U37" s="170">
        <f t="shared" si="6"/>
        <v>98.17073170731706</v>
      </c>
    </row>
    <row r="38" spans="1:21">
      <c r="A38" s="169">
        <v>39995</v>
      </c>
      <c r="B38">
        <v>0.14659</v>
      </c>
      <c r="C38" s="170">
        <f t="shared" si="10"/>
        <v>107.94550810014726</v>
      </c>
      <c r="D38">
        <v>2090.3733999999999</v>
      </c>
      <c r="E38">
        <f t="shared" si="11"/>
        <v>2256.4641878203238</v>
      </c>
      <c r="F38" s="170">
        <f t="shared" si="12"/>
        <v>89.357805094339966</v>
      </c>
      <c r="G38" s="173">
        <v>6128.9278999999997</v>
      </c>
      <c r="H38">
        <f t="shared" si="7"/>
        <v>6615.902362746685</v>
      </c>
      <c r="I38" s="170">
        <f t="shared" si="13"/>
        <v>85.929949727726679</v>
      </c>
      <c r="J38">
        <v>1115</v>
      </c>
      <c r="K38">
        <f t="shared" si="8"/>
        <v>1203.592415316642</v>
      </c>
      <c r="L38" s="170">
        <f t="shared" si="14"/>
        <v>84.760029247650849</v>
      </c>
      <c r="M38">
        <v>3268.9569999999999</v>
      </c>
      <c r="N38">
        <f t="shared" si="9"/>
        <v>3528.6922432253314</v>
      </c>
      <c r="O38" s="170">
        <f t="shared" si="15"/>
        <v>75.099650183143581</v>
      </c>
      <c r="P38">
        <v>100.3</v>
      </c>
      <c r="Q38" s="170">
        <f t="shared" si="5"/>
        <v>97.378640776699015</v>
      </c>
      <c r="R38">
        <v>97.3</v>
      </c>
      <c r="S38" s="170">
        <f t="shared" si="17"/>
        <v>106.05699999999999</v>
      </c>
      <c r="T38">
        <v>96.3</v>
      </c>
      <c r="U38" s="170">
        <f t="shared" si="6"/>
        <v>97.865853658536565</v>
      </c>
    </row>
    <row r="39" spans="1:21">
      <c r="A39" s="169">
        <v>40026</v>
      </c>
      <c r="B39">
        <v>0.14657000000000001</v>
      </c>
      <c r="C39" s="170">
        <f t="shared" si="10"/>
        <v>107.93078055964654</v>
      </c>
      <c r="D39">
        <v>2208.8099000000002</v>
      </c>
      <c r="E39">
        <f t="shared" si="11"/>
        <v>2383.9857661487481</v>
      </c>
      <c r="F39" s="170">
        <f t="shared" si="12"/>
        <v>94.407762635479244</v>
      </c>
      <c r="G39" s="173">
        <v>7165.0744500000001</v>
      </c>
      <c r="H39">
        <f t="shared" si="7"/>
        <v>7733.3207815648011</v>
      </c>
      <c r="I39" s="170">
        <f t="shared" si="13"/>
        <v>100.44342095042057</v>
      </c>
      <c r="J39">
        <v>1159</v>
      </c>
      <c r="K39">
        <f t="shared" si="8"/>
        <v>1250.9177466863032</v>
      </c>
      <c r="L39" s="170">
        <f t="shared" si="14"/>
        <v>88.092799062415722</v>
      </c>
      <c r="M39">
        <v>3444.395</v>
      </c>
      <c r="N39">
        <f t="shared" si="9"/>
        <v>3717.5624090574374</v>
      </c>
      <c r="O39" s="170">
        <f t="shared" si="15"/>
        <v>79.11929327082153</v>
      </c>
      <c r="P39">
        <v>100</v>
      </c>
      <c r="Q39" s="170">
        <f t="shared" si="5"/>
        <v>97.087378640776706</v>
      </c>
      <c r="R39">
        <v>97.2</v>
      </c>
      <c r="S39" s="170">
        <f t="shared" si="17"/>
        <v>105.94800000000001</v>
      </c>
      <c r="T39">
        <v>96.2</v>
      </c>
      <c r="U39" s="170">
        <f t="shared" si="6"/>
        <v>97.764227642276424</v>
      </c>
    </row>
    <row r="40" spans="1:21">
      <c r="A40" s="169">
        <v>40057</v>
      </c>
      <c r="B40">
        <v>0.14668999999999999</v>
      </c>
      <c r="C40" s="170">
        <f t="shared" si="10"/>
        <v>108.01914580265095</v>
      </c>
      <c r="D40">
        <v>2165.1443999999997</v>
      </c>
      <c r="E40">
        <f t="shared" si="11"/>
        <v>2338.770486273932</v>
      </c>
      <c r="F40" s="170">
        <f t="shared" si="12"/>
        <v>92.61720101781728</v>
      </c>
      <c r="G40" s="173">
        <v>7099.0625499999996</v>
      </c>
      <c r="H40">
        <f t="shared" si="7"/>
        <v>7668.3467265058898</v>
      </c>
      <c r="I40" s="170">
        <f t="shared" si="13"/>
        <v>99.599512292357971</v>
      </c>
      <c r="J40">
        <v>1105</v>
      </c>
      <c r="K40">
        <f t="shared" si="8"/>
        <v>1193.6115611192931</v>
      </c>
      <c r="L40" s="170">
        <f t="shared" si="14"/>
        <v>84.057152191499512</v>
      </c>
      <c r="M40">
        <v>3087.8244999999997</v>
      </c>
      <c r="N40">
        <f t="shared" si="9"/>
        <v>3335.4416487849776</v>
      </c>
      <c r="O40" s="170">
        <f t="shared" si="15"/>
        <v>70.986780303935944</v>
      </c>
      <c r="P40">
        <v>99.8</v>
      </c>
      <c r="Q40" s="170">
        <f t="shared" si="5"/>
        <v>96.893203883495133</v>
      </c>
      <c r="R40">
        <v>97.1</v>
      </c>
      <c r="S40" s="170">
        <f t="shared" si="17"/>
        <v>105.839</v>
      </c>
      <c r="T40">
        <v>96.1</v>
      </c>
      <c r="U40" s="170">
        <f t="shared" si="6"/>
        <v>97.66260162601624</v>
      </c>
    </row>
    <row r="41" spans="1:21">
      <c r="A41" s="169">
        <v>40087</v>
      </c>
      <c r="B41">
        <v>0.14668999999999999</v>
      </c>
      <c r="C41" s="170">
        <f t="shared" si="10"/>
        <v>108.01914580265095</v>
      </c>
      <c r="D41">
        <v>2220.1531499999996</v>
      </c>
      <c r="E41">
        <f t="shared" si="11"/>
        <v>2398.1904681406477</v>
      </c>
      <c r="F41" s="170">
        <f t="shared" si="12"/>
        <v>94.970280311969134</v>
      </c>
      <c r="G41" s="173">
        <v>7400.5104999999994</v>
      </c>
      <c r="H41">
        <f t="shared" si="7"/>
        <v>7993.9682271354923</v>
      </c>
      <c r="I41" s="170">
        <f t="shared" si="13"/>
        <v>103.82881279366588</v>
      </c>
      <c r="J41">
        <v>1054</v>
      </c>
      <c r="K41">
        <f t="shared" si="8"/>
        <v>1138.521796759941</v>
      </c>
      <c r="L41" s="170">
        <f t="shared" si="14"/>
        <v>80.177591321122605</v>
      </c>
      <c r="M41">
        <v>3065.8209999999999</v>
      </c>
      <c r="N41">
        <f t="shared" si="9"/>
        <v>3311.6736560382915</v>
      </c>
      <c r="O41" s="170">
        <f t="shared" si="15"/>
        <v>70.480936263765386</v>
      </c>
      <c r="P41">
        <v>99.7</v>
      </c>
      <c r="Q41" s="170">
        <f t="shared" si="5"/>
        <v>96.796116504854368</v>
      </c>
      <c r="R41">
        <v>97.1</v>
      </c>
      <c r="S41" s="170">
        <f t="shared" si="17"/>
        <v>105.839</v>
      </c>
      <c r="T41">
        <v>96</v>
      </c>
      <c r="U41" s="170">
        <f t="shared" si="6"/>
        <v>97.560975609756099</v>
      </c>
    </row>
    <row r="42" spans="1:21">
      <c r="A42" s="169">
        <v>40119</v>
      </c>
      <c r="B42">
        <v>0.14665</v>
      </c>
      <c r="C42" s="170">
        <f t="shared" si="10"/>
        <v>107.98969072164948</v>
      </c>
      <c r="D42">
        <v>2346.6932999999999</v>
      </c>
      <c r="E42">
        <f t="shared" si="11"/>
        <v>2534.1868368556698</v>
      </c>
      <c r="F42" s="170">
        <f t="shared" si="12"/>
        <v>100.35584640017447</v>
      </c>
      <c r="G42">
        <v>8131.7425000000003</v>
      </c>
      <c r="H42">
        <f t="shared" si="7"/>
        <v>8781.4435760309279</v>
      </c>
      <c r="I42" s="170">
        <f t="shared" si="13"/>
        <v>114.05685326830124</v>
      </c>
      <c r="J42">
        <v>1131</v>
      </c>
      <c r="K42">
        <f t="shared" si="8"/>
        <v>1221.3634020618556</v>
      </c>
      <c r="L42" s="170">
        <f t="shared" si="14"/>
        <v>86.011507187454612</v>
      </c>
      <c r="M42">
        <v>2911.0025000000001</v>
      </c>
      <c r="N42">
        <f t="shared" si="9"/>
        <v>3143.5825966494845</v>
      </c>
      <c r="O42" s="170">
        <f t="shared" si="15"/>
        <v>66.903526025383385</v>
      </c>
      <c r="P42">
        <v>99</v>
      </c>
      <c r="Q42" s="170">
        <f t="shared" si="5"/>
        <v>96.116504854368941</v>
      </c>
      <c r="R42">
        <v>96.9</v>
      </c>
      <c r="S42" s="170">
        <f t="shared" si="17"/>
        <v>105.62100000000001</v>
      </c>
      <c r="T42">
        <v>96</v>
      </c>
      <c r="U42" s="170">
        <f>T42/$T$17*100</f>
        <v>97.560975609756099</v>
      </c>
    </row>
    <row r="43" spans="1:21">
      <c r="A43" s="169">
        <v>40150</v>
      </c>
      <c r="B43">
        <v>0.14666999999999999</v>
      </c>
      <c r="C43" s="170">
        <f t="shared" si="10"/>
        <v>108.00441826215021</v>
      </c>
      <c r="D43">
        <v>2463.6893249999998</v>
      </c>
      <c r="E43">
        <f t="shared" si="11"/>
        <v>2660.8933232529448</v>
      </c>
      <c r="F43" s="170">
        <f t="shared" si="12"/>
        <v>105.37352564223382</v>
      </c>
      <c r="G43">
        <v>8316.9223499999989</v>
      </c>
      <c r="H43">
        <f t="shared" si="7"/>
        <v>8982.6436014322517</v>
      </c>
      <c r="I43" s="170">
        <f t="shared" si="13"/>
        <v>116.67011856757559</v>
      </c>
      <c r="J43">
        <v>1182</v>
      </c>
      <c r="K43">
        <f t="shared" si="8"/>
        <v>1276.6122238586154</v>
      </c>
      <c r="L43" s="170">
        <f t="shared" si="14"/>
        <v>89.902269285817979</v>
      </c>
      <c r="M43">
        <v>0</v>
      </c>
      <c r="N43">
        <f t="shared" si="9"/>
        <v>0</v>
      </c>
      <c r="P43">
        <v>99.6</v>
      </c>
      <c r="Q43" s="170">
        <f t="shared" si="5"/>
        <v>96.699029126213588</v>
      </c>
      <c r="R43">
        <v>95.9</v>
      </c>
      <c r="S43" s="170">
        <f t="shared" si="17"/>
        <v>104.53100000000001</v>
      </c>
      <c r="T43">
        <v>98.6</v>
      </c>
      <c r="U43" s="170">
        <f t="shared" si="6"/>
        <v>100.20325203252031</v>
      </c>
    </row>
    <row r="44" spans="1:21">
      <c r="A44" s="169">
        <v>40182</v>
      </c>
      <c r="B44">
        <v>0.14663999999999999</v>
      </c>
      <c r="C44" s="170">
        <f t="shared" si="10"/>
        <v>107.98232695139912</v>
      </c>
      <c r="D44">
        <v>2543.1041999999998</v>
      </c>
      <c r="E44">
        <f t="shared" si="11"/>
        <v>2746.1030919587624</v>
      </c>
      <c r="F44" s="170">
        <f t="shared" si="12"/>
        <v>108.74790133374582</v>
      </c>
      <c r="G44">
        <v>8742.6767999999993</v>
      </c>
      <c r="H44">
        <f t="shared" si="7"/>
        <v>9440.5458464801177</v>
      </c>
      <c r="I44" s="170">
        <f t="shared" si="13"/>
        <v>122.61753355948014</v>
      </c>
      <c r="J44">
        <v>1273</v>
      </c>
      <c r="K44">
        <f t="shared" si="8"/>
        <v>1374.6150220913107</v>
      </c>
      <c r="L44" s="170">
        <f t="shared" si="14"/>
        <v>96.803874795162727</v>
      </c>
      <c r="M44">
        <v>0</v>
      </c>
      <c r="N44">
        <f t="shared" si="9"/>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dimension ref="A1"/>
  <sheetViews>
    <sheetView tabSelected="1" topLeftCell="A4" workbookViewId="0">
      <selection activeCell="R16" sqref="R16"/>
    </sheetView>
  </sheetViews>
  <sheetFormatPr defaultRowHeight="1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8EDBA79D5FD284298A8A52CF0F1C8CB" ma:contentTypeVersion="0" ma:contentTypeDescription="Create a new document." ma:contentTypeScope="" ma:versionID="5272291e6fa77852aedcea58fa16eeed">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2B2FE98-D589-4542-8413-B287999BF33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0B613A4C-0BF9-49C8-99EC-BD5661D1128A}">
  <ds:schemaRefs>
    <ds:schemaRef ds:uri="http://schemas.microsoft.com/office/2006/metadata/properties"/>
  </ds:schemaRefs>
</ds:datastoreItem>
</file>

<file path=customXml/itemProps3.xml><?xml version="1.0" encoding="utf-8"?>
<ds:datastoreItem xmlns:ds="http://schemas.openxmlformats.org/officeDocument/2006/customXml" ds:itemID="{9C176AF8-036B-44C2-AC65-1283E1ACA01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23</vt:i4>
      </vt:variant>
    </vt:vector>
  </HeadingPairs>
  <TitlesOfParts>
    <vt:vector size="31" baseType="lpstr">
      <vt:lpstr>Material index</vt:lpstr>
      <vt:lpstr>Cost driver analysis</vt:lpstr>
      <vt:lpstr>cost driver</vt:lpstr>
      <vt:lpstr>temp</vt:lpstr>
      <vt:lpstr>Data</vt:lpstr>
      <vt:lpstr>Sheet2</vt:lpstr>
      <vt:lpstr>Base 100</vt:lpstr>
      <vt:lpstr>Trend</vt:lpstr>
      <vt:lpstr>BEVERAGE</vt:lpstr>
      <vt:lpstr>CHRISTOPHE_BEATRIX</vt:lpstr>
      <vt:lpstr>COOKWARE</vt:lpstr>
      <vt:lpstr>Currency</vt:lpstr>
      <vt:lpstr>EDELWEISS_LAI</vt:lpstr>
      <vt:lpstr>ELECTRICAL_COOKING</vt:lpstr>
      <vt:lpstr>End</vt:lpstr>
      <vt:lpstr>FOOD_PREPARATION</vt:lpstr>
      <vt:lpstr>HOME_CLEANING</vt:lpstr>
      <vt:lpstr>HOME_COMFORT</vt:lpstr>
      <vt:lpstr>JOEY_LEUNG</vt:lpstr>
      <vt:lpstr>LINEN_CARE</vt:lpstr>
      <vt:lpstr>material</vt:lpstr>
      <vt:lpstr>Metal</vt:lpstr>
      <vt:lpstr>METTEW_YAN</vt:lpstr>
      <vt:lpstr>Others</vt:lpstr>
      <vt:lpstr>Paper</vt:lpstr>
      <vt:lpstr>PERSONAL_CARE</vt:lpstr>
      <vt:lpstr>Plastic</vt:lpstr>
      <vt:lpstr>SBU</vt:lpstr>
      <vt:lpstr>SSM</vt:lpstr>
      <vt:lpstr>Start</vt:lpstr>
      <vt:lpstr>Type</vt:lpstr>
    </vt:vector>
  </TitlesOfParts>
  <Company>Groupe SEB</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vchiang</dc:creator>
  <cp:lastModifiedBy>alebihan</cp:lastModifiedBy>
  <cp:lastPrinted>2010-01-04T10:04:31Z</cp:lastPrinted>
  <dcterms:created xsi:type="dcterms:W3CDTF">2009-02-24T07:10:47Z</dcterms:created>
  <dcterms:modified xsi:type="dcterms:W3CDTF">2010-09-14T04:40:50Z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0x01010018EDBA79D5FD284298A8A52CF0F1C8CB</vt:lpwstr>
  </property>
</Properties>
</file>